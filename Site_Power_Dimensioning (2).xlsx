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 Power Dimensioning" sheetId="1" state="visible" r:id="rId3"/>
    <sheet name="Scenario 2 Lithium" sheetId="2" state="visible" r:id="rId4"/>
    <sheet name="Chart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<sst xmlns="http://schemas.openxmlformats.org/spreadsheetml/2006/main" count="255" uniqueCount="157">
  <si>
    <t xml:space="preserve">Telecom Site Power Dimensioning Model (-48V DC System)</t>
  </si>
  <si>
    <t xml:space="preserve">Scenario 1: VRLA battery site, 60 A load, 6 h backup. Change the yellow cells to size any site.</t>
  </si>
  <si>
    <t xml:space="preserve">INPUTS</t>
  </si>
  <si>
    <t xml:space="preserve">Value</t>
  </si>
  <si>
    <t xml:space="preserve">Unit / Note</t>
  </si>
  <si>
    <t xml:space="preserve">Standard cable sizes (mm2)</t>
  </si>
  <si>
    <t xml:space="preserve">DC load current</t>
  </si>
  <si>
    <t xml:space="preserve">A</t>
  </si>
  <si>
    <t xml:space="preserve">Nominal voltage</t>
  </si>
  <si>
    <t xml:space="preserve">V</t>
  </si>
  <si>
    <t xml:space="preserve">Backup time</t>
  </si>
  <si>
    <t xml:space="preserve">hours</t>
  </si>
  <si>
    <t xml:space="preserve">Depth of Discharge (DoD)</t>
  </si>
  <si>
    <t xml:space="preserve">VRLA typical 0.8; lithium 0.9</t>
  </si>
  <si>
    <t xml:space="preserve">Ageing factor</t>
  </si>
  <si>
    <t xml:space="preserve">battery ageing margin</t>
  </si>
  <si>
    <t xml:space="preserve">Temperature factor</t>
  </si>
  <si>
    <t xml:space="preserve">1.0 normal; 1.1 for hot sites</t>
  </si>
  <si>
    <t xml:space="preserve">Charging current factor</t>
  </si>
  <si>
    <t xml:space="preserve">0.1 = 0.1C</t>
  </si>
  <si>
    <t xml:space="preserve">Rectifier module rating</t>
  </si>
  <si>
    <t xml:space="preserve">A per module</t>
  </si>
  <si>
    <t xml:space="preserve">Source: typical standard sizes; confirm with ampacity tables / customer spec.</t>
  </si>
  <si>
    <t xml:space="preserve">Rectifier efficiency</t>
  </si>
  <si>
    <t xml:space="preserve">0.96 = 96%</t>
  </si>
  <si>
    <t xml:space="preserve">AC voltage (single phase)</t>
  </si>
  <si>
    <t xml:space="preserve">LEGEND</t>
  </si>
  <si>
    <t xml:space="preserve">AC power factor</t>
  </si>
  <si>
    <t xml:space="preserve">rectifier input PF</t>
  </si>
  <si>
    <t xml:space="preserve">Yellow cells, blue text = inputs (edit these)</t>
  </si>
  <si>
    <t xml:space="preserve">Extra AC load (AC, lights)</t>
  </si>
  <si>
    <t xml:space="preserve">kW</t>
  </si>
  <si>
    <t xml:space="preserve">Green cells = final design results</t>
  </si>
  <si>
    <t xml:space="preserve">DG margin</t>
  </si>
  <si>
    <t xml:space="preserve">0.2 = 20% growth margin</t>
  </si>
  <si>
    <t xml:space="preserve">Other cells = formulas (do not edit)</t>
  </si>
  <si>
    <t xml:space="preserve">DG power factor</t>
  </si>
  <si>
    <t xml:space="preserve">typical 0.8</t>
  </si>
  <si>
    <t xml:space="preserve">Cable length (one way)</t>
  </si>
  <si>
    <t xml:space="preserve">m</t>
  </si>
  <si>
    <t xml:space="preserve">Allowed voltage drop</t>
  </si>
  <si>
    <t xml:space="preserve">V (about 2% of 48V)</t>
  </si>
  <si>
    <t xml:space="preserve">Copper resistivity</t>
  </si>
  <si>
    <t xml:space="preserve">ohm-mm2/m</t>
  </si>
  <si>
    <t xml:space="preserve">CALCULATIONS</t>
  </si>
  <si>
    <t xml:space="preserve">Result</t>
  </si>
  <si>
    <t xml:space="preserve">Meaning</t>
  </si>
  <si>
    <t xml:space="preserve">DC load power (kW)</t>
  </si>
  <si>
    <t xml:space="preserve">P = V x I</t>
  </si>
  <si>
    <t xml:space="preserve">Basic battery capacity (Ah)</t>
  </si>
  <si>
    <t xml:space="preserve">Load x hours</t>
  </si>
  <si>
    <t xml:space="preserve">Required battery (Ah)</t>
  </si>
  <si>
    <t xml:space="preserve">Corrected for DoD, ageing, temperature</t>
  </si>
  <si>
    <t xml:space="preserve">Standard battery size (Ah)</t>
  </si>
  <si>
    <t xml:space="preserve">Next standard size (100 Ah steps)</t>
  </si>
  <si>
    <t xml:space="preserve">Battery charging current (A)</t>
  </si>
  <si>
    <t xml:space="preserve">Charging factor x battery Ah</t>
  </si>
  <si>
    <t xml:space="preserve">Total rectifier current (A)</t>
  </si>
  <si>
    <t xml:space="preserve">Load + battery charging</t>
  </si>
  <si>
    <t xml:space="preserve">Modules needed</t>
  </si>
  <si>
    <t xml:space="preserve">Rounded up to whole modules</t>
  </si>
  <si>
    <t xml:space="preserve">Modules with N+1</t>
  </si>
  <si>
    <t xml:space="preserve">One extra module for redundancy</t>
  </si>
  <si>
    <t xml:space="preserve">Installed rectifier capacity (A)</t>
  </si>
  <si>
    <t xml:space="preserve">Total rectifier capacity</t>
  </si>
  <si>
    <t xml:space="preserve">DC output power (kW)</t>
  </si>
  <si>
    <t xml:space="preserve">Rectifier output at full load + charging</t>
  </si>
  <si>
    <t xml:space="preserve">AC input power (kW)</t>
  </si>
  <si>
    <t xml:space="preserve">After rectifier efficiency</t>
  </si>
  <si>
    <t xml:space="preserve">AC input current (A)</t>
  </si>
  <si>
    <t xml:space="preserve">I = P / (V x PF)</t>
  </si>
  <si>
    <t xml:space="preserve">AC breaker size (A)</t>
  </si>
  <si>
    <t xml:space="preserve">1.25 x current, rounded to 10 A steps</t>
  </si>
  <si>
    <t xml:space="preserve">Total AC load (kW)</t>
  </si>
  <si>
    <t xml:space="preserve">Rectifier input + extra AC load</t>
  </si>
  <si>
    <t xml:space="preserve">Load with margin (kW)</t>
  </si>
  <si>
    <t xml:space="preserve">Growth margin added</t>
  </si>
  <si>
    <t xml:space="preserve">DG required (kVA)</t>
  </si>
  <si>
    <t xml:space="preserve">kVA = kW / PF</t>
  </si>
  <si>
    <t xml:space="preserve">Standard DG size (kVA)</t>
  </si>
  <si>
    <t xml:space="preserve">Next standard size (5 kVA steps)</t>
  </si>
  <si>
    <t xml:space="preserve">DC cable area required (mm2)</t>
  </si>
  <si>
    <t xml:space="preserve">Area = rho x 2L x I / Vdrop</t>
  </si>
  <si>
    <t xml:space="preserve">Standard cable size (mm2)</t>
  </si>
  <si>
    <t xml:space="preserve">Next size from table (check ampacity separately)</t>
  </si>
  <si>
    <t xml:space="preserve">FINAL DESIGN SUMMARY</t>
  </si>
  <si>
    <t xml:space="preserve">DC load</t>
  </si>
  <si>
    <t xml:space="preserve">Battery bank</t>
  </si>
  <si>
    <t xml:space="preserve">Rectifier</t>
  </si>
  <si>
    <t xml:space="preserve">AC input breaker</t>
  </si>
  <si>
    <t xml:space="preserve">DG set</t>
  </si>
  <si>
    <t xml:space="preserve">DC cable (rectifier to DCDB)</t>
  </si>
  <si>
    <t xml:space="preserve">Scenario 2: Lithium Battery Site (Hot Location)</t>
  </si>
  <si>
    <t xml:space="preserve">Scenario 2: Lithium battery (DoD 0.9), 40 A load, 4 h backup, temperature factor 1.1.</t>
  </si>
  <si>
    <t xml:space="preserve">Visualization of Power Dimensioning Results</t>
  </si>
  <si>
    <t xml:space="preserve">All chart data below is linked by formula to the model sheets, so charts update when you change the yellow input cells.</t>
  </si>
  <si>
    <t xml:space="preserve">Chart 1: Scenario 1 vs Scenario 2 (key design sizes)</t>
  </si>
  <si>
    <t xml:space="preserve">Item</t>
  </si>
  <si>
    <t xml:space="preserve">Scenario 1 (VRLA)</t>
  </si>
  <si>
    <t xml:space="preserve">Scenario 2 (Lithium)</t>
  </si>
  <si>
    <t xml:space="preserve">Battery (Ah)</t>
  </si>
  <si>
    <t xml:space="preserve">Installed rectifier (A)</t>
  </si>
  <si>
    <t xml:space="preserve">AC breaker (A)</t>
  </si>
  <si>
    <t xml:space="preserve">DG set (kVA)</t>
  </si>
  <si>
    <t xml:space="preserve">DC cable (mm2)</t>
  </si>
  <si>
    <t xml:space="preserve">Chart 2: Required battery capacity vs backup time</t>
  </si>
  <si>
    <t xml:space="preserve">Backup time (h)</t>
  </si>
  <si>
    <t xml:space="preserve">Scenario 1 required Ah</t>
  </si>
  <si>
    <t xml:space="preserve">Scenario 2 required Ah</t>
  </si>
  <si>
    <t xml:space="preserve">Chart 3: Rectifier requirement vs DC load (Scenario 1 settings)</t>
  </si>
  <si>
    <t xml:space="preserve">DC load (A)</t>
  </si>
  <si>
    <t xml:space="preserve">Battery std (Ah)</t>
  </si>
  <si>
    <t xml:space="preserve">Installed capacity N+1 (A)</t>
  </si>
  <si>
    <t xml:space="preserve">Chart 4: DG set load breakdown (Scenario 1)</t>
  </si>
  <si>
    <t xml:space="preserve">Component</t>
  </si>
  <si>
    <t xml:space="preserve">Rectifier AC input</t>
  </si>
  <si>
    <t xml:space="preserve">Growth margin</t>
  </si>
  <si>
    <t xml:space="preserve">Chart 5: Rectifier DC output split (Scenario 1)</t>
  </si>
  <si>
    <t xml:space="preserve">Telecom load</t>
  </si>
  <si>
    <t xml:space="preserve">Battery charging</t>
  </si>
  <si>
    <t xml:space="preserve">Chart 6: DC cable area vs cable length (Scenario 1)</t>
  </si>
  <si>
    <t xml:space="preserve">Length one way (m)</t>
  </si>
  <si>
    <t xml:space="preserve">Required area (mm2)</t>
  </si>
  <si>
    <t xml:space="preserve">NOTES AND ASSUMPTIONS</t>
  </si>
  <si>
    <t xml:space="preserve">Purpose</t>
  </si>
  <si>
    <t xml:space="preserve">Excel model to size battery, rectifier, AC breaker, DG set and DC cable for a telecom site.</t>
  </si>
  <si>
    <t xml:space="preserve">Important</t>
  </si>
  <si>
    <t xml:space="preserve">All input values are typical/illustrative. Real projects follow customer specifications and vendor datasheets.</t>
  </si>
  <si>
    <t xml:space="preserve">FORMULAS USED</t>
  </si>
  <si>
    <t xml:space="preserve">DC power</t>
  </si>
  <si>
    <t xml:space="preserve">Battery capacity (Ah)</t>
  </si>
  <si>
    <t xml:space="preserve">Load current x backup hours / DoD x ageing factor x temperature factor, then next standard size</t>
  </si>
  <si>
    <t xml:space="preserve">Rectifier current</t>
  </si>
  <si>
    <t xml:space="preserve">Load current + battery charging current (charging factor x battery Ah)</t>
  </si>
  <si>
    <t xml:space="preserve">Rectifier modules</t>
  </si>
  <si>
    <t xml:space="preserve">ROUNDUP(total current / module rating), plus 1 module for N+1 redundancy</t>
  </si>
  <si>
    <t xml:space="preserve">AC input power</t>
  </si>
  <si>
    <t xml:space="preserve">DC output power / rectifier efficiency</t>
  </si>
  <si>
    <t xml:space="preserve">AC input current</t>
  </si>
  <si>
    <t xml:space="preserve">I = P / (V x PF), single phase</t>
  </si>
  <si>
    <t xml:space="preserve">AC breaker</t>
  </si>
  <si>
    <t xml:space="preserve">1.25 x AC input current, rounded up to 10 A steps</t>
  </si>
  <si>
    <t xml:space="preserve">DG kVA</t>
  </si>
  <si>
    <t xml:space="preserve">(Rectifier AC input + extra AC load) x (1 + margin) / DG power factor, rounded to 5 kVA steps</t>
  </si>
  <si>
    <t xml:space="preserve">DC cable area</t>
  </si>
  <si>
    <t xml:space="preserve">Area = resistivity x 2 x length x current / allowed voltage drop</t>
  </si>
  <si>
    <t xml:space="preserve">REFERENCES</t>
  </si>
  <si>
    <t xml:space="preserve">Battery sizing standard</t>
  </si>
  <si>
    <t xml:space="preserve">IEEE 485 (lead-acid battery sizing). Confirm method with customer standard.</t>
  </si>
  <si>
    <t xml:space="preserve">Cable</t>
  </si>
  <si>
    <t xml:space="preserve">Standard size from table only checks voltage drop. Also check cable ampacity from standard tables.</t>
  </si>
  <si>
    <t xml:space="preserve">Charging factor</t>
  </si>
  <si>
    <t xml:space="preserve">0.1C is a typical VRLA assumption; lithium batteries may allow higher rates (check datasheet).</t>
  </si>
  <si>
    <t xml:space="preserve">Resistivity</t>
  </si>
  <si>
    <t xml:space="preserve">Copper 0.0175 ohm-mm2/m (typical value at about 20 C).</t>
  </si>
  <si>
    <t xml:space="preserve">HOW TO USE</t>
  </si>
  <si>
    <t xml:space="preserve">Edit only yellow input cells (blue text). Results update automatically. Use the Scenario 2 sheet as a second example.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</si>
</sst>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95959"/>
      <rgbColor rgb="FF999999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Design Comparison: VRLA vs Lithium 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Charts!B5</c:f>
              <c:strCache>
                <c:ptCount val="1"/>
                <c:pt idx="0">
                  <c:v>Scenario 1 (VRLA)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Battery (Ah)</c:v>
                </c:pt>
                <c:pt idx="1">
                  <c:v>Installed rectifier (A)</c:v>
                </c:pt>
                <c:pt idx="2">
                  <c:v>AC breaker (A)</c:v>
                </c:pt>
                <c:pt idx="3">
                  <c:v>DG set (kVA)</c:v>
                </c:pt>
                <c:pt idx="4">
                  <c:v>DC cable (mm2)</c:v>
                </c:pt>
              </c:strCache>
            </c:strRef>
          </c:cat>
          <c:val>
            <c:numRef>
              <c:f>Charts!$B$6:$B$10</c:f>
              <c:numCache>
                <c:formatCode>0</c:formatCode>
                <c:ptCount val="5"/>
                <c:pt idx="0">
                  <c:v>600</c:v>
                </c:pt>
                <c:pt idx="1">
                  <c:v>200</c:v>
                </c:pt>
                <c:pt idx="2">
                  <c:v>40</c:v>
                </c:pt>
                <c:pt idx="3">
                  <c:v>15</c:v>
                </c:pt>
                <c:pt idx="4">
                  <c:v>50</c:v>
                </c:pt>
              </c:numCache>
            </c:numRef>
          </c:val>
        </c:ser>
        <c:ser>
          <c:idx val="1"/>
          <c:order val="1"/>
          <c:tx>
            <c:strRef>
              <c:f>Charts!C5</c:f>
              <c:strCache>
                <c:ptCount val="1"/>
                <c:pt idx="0">
                  <c:v>Scenario 2 (Lithium)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Battery (Ah)</c:v>
                </c:pt>
                <c:pt idx="1">
                  <c:v>Installed rectifier (A)</c:v>
                </c:pt>
                <c:pt idx="2">
                  <c:v>AC breaker (A)</c:v>
                </c:pt>
                <c:pt idx="3">
                  <c:v>DG set (kVA)</c:v>
                </c:pt>
                <c:pt idx="4">
                  <c:v>DC cable (mm2)</c:v>
                </c:pt>
              </c:strCache>
            </c:strRef>
          </c:cat>
          <c:val>
            <c:numRef>
              <c:f>Charts!$C$6:$C$10</c:f>
              <c:numCache>
                <c:formatCode>0</c:formatCode>
                <c:ptCount val="5"/>
                <c:pt idx="0">
                  <c:v>300</c:v>
                </c:pt>
                <c:pt idx="1">
                  <c:v>150</c:v>
                </c:pt>
                <c:pt idx="2">
                  <c:v>20</c:v>
                </c:pt>
                <c:pt idx="3">
                  <c:v>10</c:v>
                </c:pt>
                <c:pt idx="4">
                  <c:v>25</c:v>
                </c:pt>
              </c:numCache>
            </c:numRef>
          </c:val>
        </c:ser>
        <c:gapWidth val="150"/>
        <c:overlap val="0"/>
        <c:axId val="17535153"/>
        <c:axId val="45692769"/>
      </c:barChart>
      <c:catAx>
        <c:axId val="17535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Design item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92769"/>
        <c:crosses val="autoZero"/>
        <c:auto val="1"/>
        <c:lblAlgn val="ctr"/>
        <c:lblOffset val="100"/>
        <c:noMultiLvlLbl val="0"/>
      </c:catAx>
      <c:valAx>
        <c:axId val="45692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(unit shown in label)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351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Required Battery Capacity vs Backup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Charts!B23</c:f>
              <c:strCache>
                <c:ptCount val="1"/>
                <c:pt idx="0">
                  <c:v>Scenario 1 required Ah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Charts!$A$24:$A$35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Charts!$B$24:$B$35</c:f>
              <c:numCache>
                <c:formatCode>0.0</c:formatCode>
                <c:ptCount val="12"/>
                <c:pt idx="0">
                  <c:v>93.75</c:v>
                </c:pt>
                <c:pt idx="1">
                  <c:v>187.5</c:v>
                </c:pt>
                <c:pt idx="2">
                  <c:v>281.25</c:v>
                </c:pt>
                <c:pt idx="3">
                  <c:v>375</c:v>
                </c:pt>
                <c:pt idx="4">
                  <c:v>468.75</c:v>
                </c:pt>
                <c:pt idx="5">
                  <c:v>562.5</c:v>
                </c:pt>
                <c:pt idx="6">
                  <c:v>656.25</c:v>
                </c:pt>
                <c:pt idx="7">
                  <c:v>750</c:v>
                </c:pt>
                <c:pt idx="8">
                  <c:v>843.75</c:v>
                </c:pt>
                <c:pt idx="9">
                  <c:v>937.5</c:v>
                </c:pt>
                <c:pt idx="10">
                  <c:v>1031.25</c:v>
                </c:pt>
                <c:pt idx="11">
                  <c:v>1125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Charts!C23</c:f>
              <c:strCache>
                <c:ptCount val="1"/>
                <c:pt idx="0">
                  <c:v>Scenario 2 required Ah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Charts!$A$24:$A$35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Charts!$C$24:$C$35</c:f>
              <c:numCache>
                <c:formatCode>0.0</c:formatCode>
                <c:ptCount val="12"/>
                <c:pt idx="0">
                  <c:v>53.7777777777778</c:v>
                </c:pt>
                <c:pt idx="1">
                  <c:v>107.555555555556</c:v>
                </c:pt>
                <c:pt idx="2">
                  <c:v>161.333333333333</c:v>
                </c:pt>
                <c:pt idx="3">
                  <c:v>215.111111111111</c:v>
                </c:pt>
                <c:pt idx="4">
                  <c:v>268.888888888889</c:v>
                </c:pt>
                <c:pt idx="5">
                  <c:v>322.666666666667</c:v>
                </c:pt>
                <c:pt idx="6">
                  <c:v>376.444444444444</c:v>
                </c:pt>
                <c:pt idx="7">
                  <c:v>430.222222222222</c:v>
                </c:pt>
                <c:pt idx="8">
                  <c:v>484</c:v>
                </c:pt>
                <c:pt idx="9">
                  <c:v>537.777777777778</c:v>
                </c:pt>
                <c:pt idx="10">
                  <c:v>591.555555555556</c:v>
                </c:pt>
                <c:pt idx="11">
                  <c:v>645.333333333334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334603"/>
        <c:axId val="32120851"/>
      </c:lineChart>
      <c:catAx>
        <c:axId val="473346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Backup time (hours)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20851"/>
        <c:crosses val="autoZero"/>
        <c:auto val="1"/>
        <c:lblAlgn val="ctr"/>
        <c:lblOffset val="100"/>
        <c:noMultiLvlLbl val="0"/>
      </c:catAx>
      <c:valAx>
        <c:axId val="32120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Required battery (Ah)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346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Rectifier Capacity vs DC Load (N+1 Steps)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Charts!C41</c:f>
              <c:strCache>
                <c:ptCount val="1"/>
                <c:pt idx="0">
                  <c:v>Total rectifier current (A)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Charts!$A$42:$A$50</c:f>
              <c:strCache>
                <c:ptCount val="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</c:strCache>
            </c:strRef>
          </c:cat>
          <c:val>
            <c:numRef>
              <c:f>Charts!$C$42:$C$50</c:f>
              <c:numCache>
                <c:formatCode>0</c:formatCode>
                <c:ptCount val="9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120</c:v>
                </c:pt>
                <c:pt idx="5">
                  <c:v>140</c:v>
                </c:pt>
                <c:pt idx="6">
                  <c:v>160</c:v>
                </c:pt>
                <c:pt idx="7">
                  <c:v>180</c:v>
                </c:pt>
                <c:pt idx="8">
                  <c:v>200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Charts!D41</c:f>
              <c:strCache>
                <c:ptCount val="1"/>
                <c:pt idx="0">
                  <c:v>Installed capacity N+1 (A)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Charts!$A$42:$A$50</c:f>
              <c:strCache>
                <c:ptCount val="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</c:strCache>
            </c:strRef>
          </c:cat>
          <c:val>
            <c:numRef>
              <c:f>Charts!$D$42:$D$50</c:f>
              <c:numCache>
                <c:formatCode>0</c:formatCode>
                <c:ptCount val="9"/>
                <c:pt idx="0">
                  <c:v>100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200</c:v>
                </c:pt>
                <c:pt idx="5">
                  <c:v>200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285584"/>
        <c:axId val="64540778"/>
      </c:lineChart>
      <c:catAx>
        <c:axId val="432855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DC load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40778"/>
        <c:crosses val="autoZero"/>
        <c:auto val="1"/>
        <c:lblAlgn val="ctr"/>
        <c:lblOffset val="100"/>
        <c:noMultiLvlLbl val="0"/>
      </c:catAx>
      <c:valAx>
        <c:axId val="64540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855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DG Set Load Breakdown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Charts!B59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Charts!$A$60:$A$62</c:f>
              <c:strCache>
                <c:ptCount val="3"/>
                <c:pt idx="0">
                  <c:v>Rectifier AC input</c:v>
                </c:pt>
                <c:pt idx="1">
                  <c:v>Extra AC load (AC, lights)</c:v>
                </c:pt>
                <c:pt idx="2">
                  <c:v>Growth margin</c:v>
                </c:pt>
              </c:strCache>
            </c:strRef>
          </c:cat>
          <c:val>
            <c:numRef>
              <c:f>Charts!$B$60:$B$62</c:f>
              <c:numCache>
                <c:formatCode>0.00</c:formatCode>
                <c:ptCount val="3"/>
                <c:pt idx="0">
                  <c:v>6</c:v>
                </c:pt>
                <c:pt idx="1">
                  <c:v>3</c:v>
                </c:pt>
                <c:pt idx="2">
                  <c:v>1.8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Rectifier DC Output: Load vs Battery Charging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Charts!B67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Charts!$A$68:$A$69</c:f>
              <c:strCache>
                <c:ptCount val="2"/>
                <c:pt idx="0">
                  <c:v>Telecom load</c:v>
                </c:pt>
                <c:pt idx="1">
                  <c:v>Battery charging</c:v>
                </c:pt>
              </c:strCache>
            </c:strRef>
          </c:cat>
          <c:val>
            <c:numRef>
              <c:f>Charts!$B$68:$B$69</c:f>
              <c:numCache>
                <c:formatCode>0.00</c:formatCode>
                <c:ptCount val="2"/>
                <c:pt idx="0">
                  <c:v>2.88</c:v>
                </c:pt>
                <c:pt idx="1">
                  <c:v>2.88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DC Cable Area vs Cable Length (1 V drop)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Charts!B79</c:f>
              <c:strCache>
                <c:ptCount val="1"/>
                <c:pt idx="0">
                  <c:v>Required area (mm2)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Charts!$A$80:$A$85</c:f>
              <c:strCach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strCache>
            </c:strRef>
          </c:cat>
          <c:val>
            <c:numRef>
              <c:f>Charts!$B$80:$B$85</c:f>
              <c:numCache>
                <c:formatCode>0.0</c:formatCode>
                <c:ptCount val="6"/>
                <c:pt idx="0">
                  <c:v>21</c:v>
                </c:pt>
                <c:pt idx="1">
                  <c:v>42</c:v>
                </c:pt>
                <c:pt idx="2">
                  <c:v>63</c:v>
                </c:pt>
                <c:pt idx="3">
                  <c:v>84</c:v>
                </c:pt>
                <c:pt idx="4">
                  <c:v>105</c:v>
                </c:pt>
                <c:pt idx="5">
                  <c:v>126</c:v>
                </c:pt>
              </c:numCache>
            </c:numRef>
          </c:val>
        </c:ser>
        <c:gapWidth val="150"/>
        <c:overlap val="0"/>
        <c:axId val="13490991"/>
        <c:axId val="22898863"/>
      </c:barChart>
      <c:catAx>
        <c:axId val="13490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Cable length one way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98863"/>
        <c:crosses val="autoZero"/>
        <c:auto val="1"/>
        <c:lblAlgn val="ctr"/>
        <c:lblOffset val="100"/>
        <c:noMultiLvlLbl val="0"/>
      </c:catAx>
      <c:valAx>
        <c:axId val="22898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Required area (mm2)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909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4320</xdr:colOff>
      <xdr:row>17</xdr:row>
      <xdr:rowOff>32400</xdr:rowOff>
    </xdr:to>
    <xdr:graphicFrame>
      <xdr:nvGraphicFramePr>
        <xdr:cNvPr id="0" name="Chart 1"/>
        <xdr:cNvGraphicFramePr/>
      </xdr:nvGraphicFramePr>
      <xdr:xfrm>
        <a:off x="6461640" y="571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10440</xdr:rowOff>
    </xdr:from>
    <xdr:to>
      <xdr:col>16</xdr:col>
      <xdr:colOff>4320</xdr:colOff>
      <xdr:row>34</xdr:row>
      <xdr:rowOff>72360</xdr:rowOff>
    </xdr:to>
    <xdr:graphicFrame>
      <xdr:nvGraphicFramePr>
        <xdr:cNvPr id="1" name="Chart 2"/>
        <xdr:cNvGraphicFramePr/>
      </xdr:nvGraphicFramePr>
      <xdr:xfrm>
        <a:off x="6461640" y="4000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37</xdr:row>
      <xdr:rowOff>50400</xdr:rowOff>
    </xdr:from>
    <xdr:to>
      <xdr:col>16</xdr:col>
      <xdr:colOff>4320</xdr:colOff>
      <xdr:row>51</xdr:row>
      <xdr:rowOff>72360</xdr:rowOff>
    </xdr:to>
    <xdr:graphicFrame>
      <xdr:nvGraphicFramePr>
        <xdr:cNvPr id="2" name="Chart 3"/>
        <xdr:cNvGraphicFramePr/>
      </xdr:nvGraphicFramePr>
      <xdr:xfrm>
        <a:off x="6461640" y="7429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55</xdr:row>
      <xdr:rowOff>50400</xdr:rowOff>
    </xdr:from>
    <xdr:to>
      <xdr:col>16</xdr:col>
      <xdr:colOff>4320</xdr:colOff>
      <xdr:row>70</xdr:row>
      <xdr:rowOff>72360</xdr:rowOff>
    </xdr:to>
    <xdr:graphicFrame>
      <xdr:nvGraphicFramePr>
        <xdr:cNvPr id="3" name="Chart 4"/>
        <xdr:cNvGraphicFramePr/>
      </xdr:nvGraphicFramePr>
      <xdr:xfrm>
        <a:off x="6461640" y="11049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73</xdr:row>
      <xdr:rowOff>50400</xdr:rowOff>
    </xdr:from>
    <xdr:to>
      <xdr:col>16</xdr:col>
      <xdr:colOff>4320</xdr:colOff>
      <xdr:row>87</xdr:row>
      <xdr:rowOff>112320</xdr:rowOff>
    </xdr:to>
    <xdr:graphicFrame>
      <xdr:nvGraphicFramePr>
        <xdr:cNvPr id="4" name="Chart 5"/>
        <xdr:cNvGraphicFramePr/>
      </xdr:nvGraphicFramePr>
      <xdr:xfrm>
        <a:off x="6461640" y="14478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90</xdr:row>
      <xdr:rowOff>90360</xdr:rowOff>
    </xdr:from>
    <xdr:to>
      <xdr:col>16</xdr:col>
      <xdr:colOff>4320</xdr:colOff>
      <xdr:row>105</xdr:row>
      <xdr:rowOff>112320</xdr:rowOff>
    </xdr:to>
    <xdr:graphicFrame>
      <xdr:nvGraphicFramePr>
        <xdr:cNvPr id="5" name="Chart 6"/>
        <xdr:cNvGraphicFramePr/>
      </xdr:nvGraphicFramePr>
      <xdr:xfrm>
        <a:off x="6461640" y="17907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3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F3" s="3" t="s">
        <v>5</v>
      </c>
    </row>
    <row r="4" customFormat="false" ht="15" hidden="false" customHeight="false" outlineLevel="0" collapsed="false">
      <c r="A4" s="4" t="s">
        <v>6</v>
      </c>
      <c r="B4" s="5" t="n">
        <v>60</v>
      </c>
      <c r="C4" s="6" t="s">
        <v>7</v>
      </c>
      <c r="F4" s="7" t="n">
        <v>16</v>
      </c>
    </row>
    <row r="5" customFormat="false" ht="15" hidden="false" customHeight="false" outlineLevel="0" collapsed="false">
      <c r="A5" s="4" t="s">
        <v>8</v>
      </c>
      <c r="B5" s="5" t="n">
        <v>48</v>
      </c>
      <c r="C5" s="6" t="s">
        <v>9</v>
      </c>
      <c r="F5" s="7" t="n">
        <v>25</v>
      </c>
    </row>
    <row r="6" customFormat="false" ht="15" hidden="false" customHeight="false" outlineLevel="0" collapsed="false">
      <c r="A6" s="4" t="s">
        <v>10</v>
      </c>
      <c r="B6" s="5" t="n">
        <v>6</v>
      </c>
      <c r="C6" s="6" t="s">
        <v>11</v>
      </c>
      <c r="F6" s="7" t="n">
        <v>35</v>
      </c>
    </row>
    <row r="7" customFormat="false" ht="15" hidden="false" customHeight="false" outlineLevel="0" collapsed="false">
      <c r="A7" s="4" t="s">
        <v>12</v>
      </c>
      <c r="B7" s="5" t="n">
        <v>0.8</v>
      </c>
      <c r="C7" s="6" t="s">
        <v>13</v>
      </c>
      <c r="F7" s="7" t="n">
        <v>50</v>
      </c>
    </row>
    <row r="8" customFormat="false" ht="15" hidden="false" customHeight="false" outlineLevel="0" collapsed="false">
      <c r="A8" s="4" t="s">
        <v>14</v>
      </c>
      <c r="B8" s="5" t="n">
        <v>1.25</v>
      </c>
      <c r="C8" s="6" t="s">
        <v>15</v>
      </c>
      <c r="F8" s="7" t="n">
        <v>70</v>
      </c>
    </row>
    <row r="9" customFormat="false" ht="15" hidden="false" customHeight="false" outlineLevel="0" collapsed="false">
      <c r="A9" s="4" t="s">
        <v>16</v>
      </c>
      <c r="B9" s="5" t="n">
        <v>1</v>
      </c>
      <c r="C9" s="6" t="s">
        <v>17</v>
      </c>
      <c r="F9" s="7" t="n">
        <v>95</v>
      </c>
    </row>
    <row r="10" customFormat="false" ht="15" hidden="false" customHeight="false" outlineLevel="0" collapsed="false">
      <c r="A10" s="4" t="s">
        <v>18</v>
      </c>
      <c r="B10" s="5" t="n">
        <v>0.1</v>
      </c>
      <c r="C10" s="6" t="s">
        <v>19</v>
      </c>
      <c r="F10" s="7" t="n">
        <v>120</v>
      </c>
    </row>
    <row r="11" customFormat="false" ht="15" hidden="false" customHeight="false" outlineLevel="0" collapsed="false">
      <c r="A11" s="4" t="s">
        <v>20</v>
      </c>
      <c r="B11" s="5" t="n">
        <v>50</v>
      </c>
      <c r="C11" s="6" t="s">
        <v>21</v>
      </c>
      <c r="F11" s="8" t="s">
        <v>22</v>
      </c>
    </row>
    <row r="12" customFormat="false" ht="15" hidden="false" customHeight="false" outlineLevel="0" collapsed="false">
      <c r="A12" s="4" t="s">
        <v>23</v>
      </c>
      <c r="B12" s="5" t="n">
        <v>0.96</v>
      </c>
      <c r="C12" s="6" t="s">
        <v>24</v>
      </c>
    </row>
    <row r="13" customFormat="false" ht="15" hidden="false" customHeight="false" outlineLevel="0" collapsed="false">
      <c r="A13" s="4" t="s">
        <v>25</v>
      </c>
      <c r="B13" s="5" t="n">
        <v>230</v>
      </c>
      <c r="C13" s="6" t="s">
        <v>9</v>
      </c>
      <c r="F13" s="9" t="s">
        <v>26</v>
      </c>
    </row>
    <row r="14" customFormat="false" ht="15" hidden="false" customHeight="false" outlineLevel="0" collapsed="false">
      <c r="A14" s="4" t="s">
        <v>27</v>
      </c>
      <c r="B14" s="5" t="n">
        <v>0.99</v>
      </c>
      <c r="C14" s="6" t="s">
        <v>28</v>
      </c>
      <c r="F14" s="10" t="s">
        <v>29</v>
      </c>
    </row>
    <row r="15" customFormat="false" ht="15" hidden="false" customHeight="false" outlineLevel="0" collapsed="false">
      <c r="A15" s="4" t="s">
        <v>30</v>
      </c>
      <c r="B15" s="5" t="n">
        <v>3</v>
      </c>
      <c r="C15" s="6" t="s">
        <v>31</v>
      </c>
      <c r="F15" s="11" t="s">
        <v>32</v>
      </c>
    </row>
    <row r="16" customFormat="false" ht="15" hidden="false" customHeight="false" outlineLevel="0" collapsed="false">
      <c r="A16" s="4" t="s">
        <v>33</v>
      </c>
      <c r="B16" s="5" t="n">
        <v>0.2</v>
      </c>
      <c r="C16" s="6" t="s">
        <v>34</v>
      </c>
      <c r="F16" s="12" t="s">
        <v>35</v>
      </c>
    </row>
    <row r="17" customFormat="false" ht="15" hidden="false" customHeight="false" outlineLevel="0" collapsed="false">
      <c r="A17" s="4" t="s">
        <v>36</v>
      </c>
      <c r="B17" s="5" t="n">
        <v>0.8</v>
      </c>
      <c r="C17" s="6" t="s">
        <v>37</v>
      </c>
    </row>
    <row r="18" customFormat="false" ht="15" hidden="false" customHeight="false" outlineLevel="0" collapsed="false">
      <c r="A18" s="4" t="s">
        <v>38</v>
      </c>
      <c r="B18" s="5" t="n">
        <v>10</v>
      </c>
      <c r="C18" s="6" t="s">
        <v>39</v>
      </c>
    </row>
    <row r="19" customFormat="false" ht="15" hidden="false" customHeight="false" outlineLevel="0" collapsed="false">
      <c r="A19" s="4" t="s">
        <v>40</v>
      </c>
      <c r="B19" s="5" t="n">
        <v>1</v>
      </c>
      <c r="C19" s="6" t="s">
        <v>41</v>
      </c>
    </row>
    <row r="20" customFormat="false" ht="15" hidden="false" customHeight="false" outlineLevel="0" collapsed="false">
      <c r="A20" s="4" t="s">
        <v>42</v>
      </c>
      <c r="B20" s="5" t="n">
        <v>0.0175</v>
      </c>
      <c r="C20" s="6" t="s">
        <v>43</v>
      </c>
    </row>
    <row r="22" customFormat="false" ht="15" hidden="false" customHeight="false" outlineLevel="0" collapsed="false">
      <c r="A22" s="3" t="s">
        <v>44</v>
      </c>
      <c r="B22" s="3" t="s">
        <v>45</v>
      </c>
      <c r="C22" s="3" t="s">
        <v>46</v>
      </c>
    </row>
    <row r="23" customFormat="false" ht="15" hidden="false" customHeight="false" outlineLevel="0" collapsed="false">
      <c r="A23" s="4" t="s">
        <v>47</v>
      </c>
      <c r="B23" s="13" t="n">
        <f aca="false">B4*B5/1000</f>
        <v>2.88</v>
      </c>
      <c r="C23" s="6" t="s">
        <v>48</v>
      </c>
    </row>
    <row r="24" customFormat="false" ht="15" hidden="false" customHeight="false" outlineLevel="0" collapsed="false">
      <c r="A24" s="4" t="s">
        <v>49</v>
      </c>
      <c r="B24" s="14" t="n">
        <f aca="false">B4*B6</f>
        <v>360</v>
      </c>
      <c r="C24" s="6" t="s">
        <v>50</v>
      </c>
    </row>
    <row r="25" customFormat="false" ht="15" hidden="false" customHeight="false" outlineLevel="0" collapsed="false">
      <c r="A25" s="4" t="s">
        <v>51</v>
      </c>
      <c r="B25" s="14" t="n">
        <f aca="false">B4*B6/B7*B8*B9</f>
        <v>562.5</v>
      </c>
      <c r="C25" s="6" t="s">
        <v>52</v>
      </c>
    </row>
    <row r="26" customFormat="false" ht="15" hidden="false" customHeight="false" outlineLevel="0" collapsed="false">
      <c r="A26" s="15" t="s">
        <v>53</v>
      </c>
      <c r="B26" s="16" t="n">
        <f aca="false">CEILING(B25,100)</f>
        <v>600</v>
      </c>
      <c r="C26" s="17" t="s">
        <v>54</v>
      </c>
    </row>
    <row r="27" customFormat="false" ht="15" hidden="false" customHeight="false" outlineLevel="0" collapsed="false">
      <c r="A27" s="4" t="s">
        <v>55</v>
      </c>
      <c r="B27" s="14" t="n">
        <f aca="false">B10*B26</f>
        <v>60</v>
      </c>
      <c r="C27" s="6" t="s">
        <v>56</v>
      </c>
    </row>
    <row r="28" customFormat="false" ht="15" hidden="false" customHeight="false" outlineLevel="0" collapsed="false">
      <c r="A28" s="4" t="s">
        <v>57</v>
      </c>
      <c r="B28" s="14" t="n">
        <f aca="false">B4+B27</f>
        <v>120</v>
      </c>
      <c r="C28" s="6" t="s">
        <v>58</v>
      </c>
    </row>
    <row r="29" customFormat="false" ht="15" hidden="false" customHeight="false" outlineLevel="0" collapsed="false">
      <c r="A29" s="4" t="s">
        <v>59</v>
      </c>
      <c r="B29" s="18" t="n">
        <f aca="false">ROUNDUP(B28/B11,0)</f>
        <v>3</v>
      </c>
      <c r="C29" s="6" t="s">
        <v>60</v>
      </c>
    </row>
    <row r="30" customFormat="false" ht="15" hidden="false" customHeight="false" outlineLevel="0" collapsed="false">
      <c r="A30" s="15" t="s">
        <v>61</v>
      </c>
      <c r="B30" s="16" t="n">
        <f aca="false">B29+1</f>
        <v>4</v>
      </c>
      <c r="C30" s="17" t="s">
        <v>62</v>
      </c>
    </row>
    <row r="31" customFormat="false" ht="15" hidden="false" customHeight="false" outlineLevel="0" collapsed="false">
      <c r="A31" s="4" t="s">
        <v>63</v>
      </c>
      <c r="B31" s="18" t="n">
        <f aca="false">B30*B11</f>
        <v>200</v>
      </c>
      <c r="C31" s="6" t="s">
        <v>64</v>
      </c>
    </row>
    <row r="32" customFormat="false" ht="15" hidden="false" customHeight="false" outlineLevel="0" collapsed="false">
      <c r="A32" s="4" t="s">
        <v>65</v>
      </c>
      <c r="B32" s="13" t="n">
        <f aca="false">B28*B5/1000</f>
        <v>5.76</v>
      </c>
      <c r="C32" s="6" t="s">
        <v>66</v>
      </c>
    </row>
    <row r="33" customFormat="false" ht="15" hidden="false" customHeight="false" outlineLevel="0" collapsed="false">
      <c r="A33" s="4" t="s">
        <v>67</v>
      </c>
      <c r="B33" s="13" t="n">
        <f aca="false">B32/B12</f>
        <v>6</v>
      </c>
      <c r="C33" s="6" t="s">
        <v>68</v>
      </c>
    </row>
    <row r="34" customFormat="false" ht="15" hidden="false" customHeight="false" outlineLevel="0" collapsed="false">
      <c r="A34" s="4" t="s">
        <v>69</v>
      </c>
      <c r="B34" s="13" t="n">
        <f aca="false">B33*1000/(B13*B14)</f>
        <v>26.3504611330698</v>
      </c>
      <c r="C34" s="6" t="s">
        <v>70</v>
      </c>
    </row>
    <row r="35" customFormat="false" ht="15" hidden="false" customHeight="false" outlineLevel="0" collapsed="false">
      <c r="A35" s="15" t="s">
        <v>71</v>
      </c>
      <c r="B35" s="16" t="n">
        <f aca="false">CEILING(1.25*B34,10)</f>
        <v>40</v>
      </c>
      <c r="C35" s="17" t="s">
        <v>72</v>
      </c>
    </row>
    <row r="36" customFormat="false" ht="15" hidden="false" customHeight="false" outlineLevel="0" collapsed="false">
      <c r="A36" s="4" t="s">
        <v>73</v>
      </c>
      <c r="B36" s="13" t="n">
        <f aca="false">B33+B15</f>
        <v>9</v>
      </c>
      <c r="C36" s="6" t="s">
        <v>74</v>
      </c>
    </row>
    <row r="37" customFormat="false" ht="15" hidden="false" customHeight="false" outlineLevel="0" collapsed="false">
      <c r="A37" s="4" t="s">
        <v>75</v>
      </c>
      <c r="B37" s="13" t="n">
        <f aca="false">B36*(1+B16)</f>
        <v>10.8</v>
      </c>
      <c r="C37" s="6" t="s">
        <v>76</v>
      </c>
    </row>
    <row r="38" customFormat="false" ht="15" hidden="false" customHeight="false" outlineLevel="0" collapsed="false">
      <c r="A38" s="4" t="s">
        <v>77</v>
      </c>
      <c r="B38" s="13" t="n">
        <f aca="false">B37/B17</f>
        <v>13.5</v>
      </c>
      <c r="C38" s="6" t="s">
        <v>78</v>
      </c>
    </row>
    <row r="39" customFormat="false" ht="15" hidden="false" customHeight="false" outlineLevel="0" collapsed="false">
      <c r="A39" s="15" t="s">
        <v>79</v>
      </c>
      <c r="B39" s="16" t="n">
        <f aca="false">CEILING(B38,5)</f>
        <v>15</v>
      </c>
      <c r="C39" s="17" t="s">
        <v>80</v>
      </c>
    </row>
    <row r="40" customFormat="false" ht="15" hidden="false" customHeight="false" outlineLevel="0" collapsed="false">
      <c r="A40" s="4" t="s">
        <v>81</v>
      </c>
      <c r="B40" s="14" t="n">
        <f aca="false">B20*2*B18*B28/B19</f>
        <v>42</v>
      </c>
      <c r="C40" s="6" t="s">
        <v>82</v>
      </c>
    </row>
    <row r="41" customFormat="false" ht="15" hidden="false" customHeight="false" outlineLevel="0" collapsed="false">
      <c r="A41" s="15" t="s">
        <v>83</v>
      </c>
      <c r="B41" s="16" t="n">
        <f aca="false">INDEX(F4:F10,COUNTIF(F4:F10,"&lt;"&amp;B40)+1)</f>
        <v>50</v>
      </c>
      <c r="C41" s="17" t="s">
        <v>84</v>
      </c>
    </row>
    <row r="43" customFormat="false" ht="15" hidden="false" customHeight="false" outlineLevel="0" collapsed="false">
      <c r="A43" s="3" t="s">
        <v>85</v>
      </c>
      <c r="B43" s="3"/>
      <c r="C43" s="3"/>
    </row>
    <row r="44" customFormat="false" ht="15" hidden="false" customHeight="false" outlineLevel="0" collapsed="false">
      <c r="A44" s="19" t="s">
        <v>86</v>
      </c>
      <c r="B44" s="4" t="str">
        <f aca="false">TEXT(B4,"0")&amp;" A / "&amp;TEXT(B23,"0.0")&amp;" kW at -"&amp;B5&amp;"V DC"</f>
        <v>60 A / 2.9 kW at -48V DC</v>
      </c>
      <c r="C44" s="4"/>
    </row>
    <row r="45" customFormat="false" ht="15" hidden="false" customHeight="false" outlineLevel="0" collapsed="false">
      <c r="A45" s="19" t="s">
        <v>87</v>
      </c>
      <c r="B45" s="4" t="str">
        <f aca="false">TEXT(B26,"0")&amp;" Ah, -"&amp;B5&amp;"V"</f>
        <v>600 Ah, -48V</v>
      </c>
      <c r="C45" s="4"/>
    </row>
    <row r="46" customFormat="false" ht="15" hidden="false" customHeight="false" outlineLevel="0" collapsed="false">
      <c r="A46" s="19" t="s">
        <v>88</v>
      </c>
      <c r="B46" s="4" t="str">
        <f aca="false">B30&amp;" x "&amp;B11&amp;" A modules (N+1)"</f>
        <v>4 x 50 A modules (N+1)</v>
      </c>
      <c r="C46" s="4"/>
    </row>
    <row r="47" customFormat="false" ht="15" hidden="false" customHeight="false" outlineLevel="0" collapsed="false">
      <c r="A47" s="19" t="s">
        <v>89</v>
      </c>
      <c r="B47" s="4" t="str">
        <f aca="false">TEXT(B35,"0")&amp;" A"</f>
        <v>40 A</v>
      </c>
      <c r="C47" s="4"/>
    </row>
    <row r="48" customFormat="false" ht="15" hidden="false" customHeight="false" outlineLevel="0" collapsed="false">
      <c r="A48" s="19" t="s">
        <v>90</v>
      </c>
      <c r="B48" s="4" t="str">
        <f aca="false">TEXT(B39,"0")&amp;" kVA"</f>
        <v>15 kVA</v>
      </c>
      <c r="C48" s="4"/>
    </row>
    <row r="49" customFormat="false" ht="15" hidden="false" customHeight="false" outlineLevel="0" collapsed="false">
      <c r="A49" s="19" t="s">
        <v>91</v>
      </c>
      <c r="B49" s="4" t="str">
        <f aca="false">TEXT(B41,"0")&amp;" mm2 copper"</f>
        <v>50 mm2 copper</v>
      </c>
      <c r="C49" s="4"/>
    </row>
  </sheetData>
  <mergeCells count="6">
    <mergeCell ref="B44:C44"/>
    <mergeCell ref="B45:C45"/>
    <mergeCell ref="B46:C46"/>
    <mergeCell ref="B47:C47"/>
    <mergeCell ref="B48:C48"/>
    <mergeCell ref="B49:C49"/>
  </mergeCells>
  <dataValidations count="2">
    <dataValidation allowBlank="false" error="DoD must be between 0.5 and 0.95" errorStyle="stop" errorTitle="Invalid DoD" operator="between" showDropDown="false" showErrorMessage="true" showInputMessage="false" sqref="B7" type="decimal">
      <formula1>0.5</formula1>
      <formula2>0.95</formula2>
    </dataValidation>
    <dataValidation allowBlank="false" error="Backup time must be between 1 and 24 hours" errorStyle="stop" errorTitle="Invalid backup time" operator="between" showDropDown="false" showErrorMessage="true" showInputMessage="false" sqref="B6" type="decimal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3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F3" s="3" t="s">
        <v>5</v>
      </c>
    </row>
    <row r="4" customFormat="false" ht="15" hidden="false" customHeight="false" outlineLevel="0" collapsed="false">
      <c r="A4" s="4" t="s">
        <v>6</v>
      </c>
      <c r="B4" s="5" t="n">
        <v>40</v>
      </c>
      <c r="C4" s="6" t="s">
        <v>7</v>
      </c>
      <c r="F4" s="7" t="n">
        <v>16</v>
      </c>
    </row>
    <row r="5" customFormat="false" ht="15" hidden="false" customHeight="false" outlineLevel="0" collapsed="false">
      <c r="A5" s="4" t="s">
        <v>8</v>
      </c>
      <c r="B5" s="5" t="n">
        <v>48</v>
      </c>
      <c r="C5" s="6" t="s">
        <v>9</v>
      </c>
      <c r="F5" s="7" t="n">
        <v>25</v>
      </c>
    </row>
    <row r="6" customFormat="false" ht="15" hidden="false" customHeight="false" outlineLevel="0" collapsed="false">
      <c r="A6" s="4" t="s">
        <v>10</v>
      </c>
      <c r="B6" s="5" t="n">
        <v>4</v>
      </c>
      <c r="C6" s="6" t="s">
        <v>11</v>
      </c>
      <c r="F6" s="7" t="n">
        <v>35</v>
      </c>
    </row>
    <row r="7" customFormat="false" ht="15" hidden="false" customHeight="false" outlineLevel="0" collapsed="false">
      <c r="A7" s="4" t="s">
        <v>12</v>
      </c>
      <c r="B7" s="5" t="n">
        <v>0.9</v>
      </c>
      <c r="C7" s="6" t="s">
        <v>13</v>
      </c>
      <c r="F7" s="7" t="n">
        <v>50</v>
      </c>
    </row>
    <row r="8" customFormat="false" ht="15" hidden="false" customHeight="false" outlineLevel="0" collapsed="false">
      <c r="A8" s="4" t="s">
        <v>14</v>
      </c>
      <c r="B8" s="5" t="n">
        <v>1.1</v>
      </c>
      <c r="C8" s="6" t="s">
        <v>15</v>
      </c>
      <c r="F8" s="7" t="n">
        <v>70</v>
      </c>
    </row>
    <row r="9" customFormat="false" ht="15" hidden="false" customHeight="false" outlineLevel="0" collapsed="false">
      <c r="A9" s="4" t="s">
        <v>16</v>
      </c>
      <c r="B9" s="5" t="n">
        <v>1.1</v>
      </c>
      <c r="C9" s="6" t="s">
        <v>17</v>
      </c>
      <c r="F9" s="7" t="n">
        <v>95</v>
      </c>
    </row>
    <row r="10" customFormat="false" ht="15" hidden="false" customHeight="false" outlineLevel="0" collapsed="false">
      <c r="A10" s="4" t="s">
        <v>18</v>
      </c>
      <c r="B10" s="5" t="n">
        <v>0.1</v>
      </c>
      <c r="C10" s="6" t="s">
        <v>19</v>
      </c>
      <c r="F10" s="7" t="n">
        <v>120</v>
      </c>
    </row>
    <row r="11" customFormat="false" ht="15" hidden="false" customHeight="false" outlineLevel="0" collapsed="false">
      <c r="A11" s="4" t="s">
        <v>20</v>
      </c>
      <c r="B11" s="5" t="n">
        <v>50</v>
      </c>
      <c r="C11" s="6" t="s">
        <v>21</v>
      </c>
      <c r="F11" s="8" t="s">
        <v>22</v>
      </c>
    </row>
    <row r="12" customFormat="false" ht="15" hidden="false" customHeight="false" outlineLevel="0" collapsed="false">
      <c r="A12" s="4" t="s">
        <v>23</v>
      </c>
      <c r="B12" s="5" t="n">
        <v>0.96</v>
      </c>
      <c r="C12" s="6" t="s">
        <v>24</v>
      </c>
    </row>
    <row r="13" customFormat="false" ht="15" hidden="false" customHeight="false" outlineLevel="0" collapsed="false">
      <c r="A13" s="4" t="s">
        <v>25</v>
      </c>
      <c r="B13" s="5" t="n">
        <v>230</v>
      </c>
      <c r="C13" s="6" t="s">
        <v>9</v>
      </c>
      <c r="F13" s="9" t="s">
        <v>26</v>
      </c>
    </row>
    <row r="14" customFormat="false" ht="15" hidden="false" customHeight="false" outlineLevel="0" collapsed="false">
      <c r="A14" s="4" t="s">
        <v>27</v>
      </c>
      <c r="B14" s="5" t="n">
        <v>0.99</v>
      </c>
      <c r="C14" s="6" t="s">
        <v>28</v>
      </c>
      <c r="F14" s="10" t="s">
        <v>29</v>
      </c>
    </row>
    <row r="15" customFormat="false" ht="15" hidden="false" customHeight="false" outlineLevel="0" collapsed="false">
      <c r="A15" s="4" t="s">
        <v>30</v>
      </c>
      <c r="B15" s="5" t="n">
        <v>3</v>
      </c>
      <c r="C15" s="6" t="s">
        <v>31</v>
      </c>
      <c r="F15" s="11" t="s">
        <v>32</v>
      </c>
    </row>
    <row r="16" customFormat="false" ht="15" hidden="false" customHeight="false" outlineLevel="0" collapsed="false">
      <c r="A16" s="4" t="s">
        <v>33</v>
      </c>
      <c r="B16" s="5" t="n">
        <v>0.2</v>
      </c>
      <c r="C16" s="6" t="s">
        <v>34</v>
      </c>
      <c r="F16" s="12" t="s">
        <v>35</v>
      </c>
    </row>
    <row r="17" customFormat="false" ht="15" hidden="false" customHeight="false" outlineLevel="0" collapsed="false">
      <c r="A17" s="4" t="s">
        <v>36</v>
      </c>
      <c r="B17" s="5" t="n">
        <v>0.8</v>
      </c>
      <c r="C17" s="6" t="s">
        <v>37</v>
      </c>
    </row>
    <row r="18" customFormat="false" ht="15" hidden="false" customHeight="false" outlineLevel="0" collapsed="false">
      <c r="A18" s="4" t="s">
        <v>38</v>
      </c>
      <c r="B18" s="5" t="n">
        <v>10</v>
      </c>
      <c r="C18" s="6" t="s">
        <v>39</v>
      </c>
    </row>
    <row r="19" customFormat="false" ht="15" hidden="false" customHeight="false" outlineLevel="0" collapsed="false">
      <c r="A19" s="4" t="s">
        <v>40</v>
      </c>
      <c r="B19" s="5" t="n">
        <v>1</v>
      </c>
      <c r="C19" s="6" t="s">
        <v>41</v>
      </c>
    </row>
    <row r="20" customFormat="false" ht="15" hidden="false" customHeight="false" outlineLevel="0" collapsed="false">
      <c r="A20" s="4" t="s">
        <v>42</v>
      </c>
      <c r="B20" s="5" t="n">
        <v>0.0175</v>
      </c>
      <c r="C20" s="6" t="s">
        <v>43</v>
      </c>
    </row>
    <row r="22" customFormat="false" ht="15" hidden="false" customHeight="false" outlineLevel="0" collapsed="false">
      <c r="A22" s="3" t="s">
        <v>44</v>
      </c>
      <c r="B22" s="3" t="s">
        <v>45</v>
      </c>
      <c r="C22" s="3" t="s">
        <v>46</v>
      </c>
    </row>
    <row r="23" customFormat="false" ht="15" hidden="false" customHeight="false" outlineLevel="0" collapsed="false">
      <c r="A23" s="4" t="s">
        <v>47</v>
      </c>
      <c r="B23" s="13" t="n">
        <f aca="false">B4*B5/1000</f>
        <v>1.92</v>
      </c>
      <c r="C23" s="6" t="s">
        <v>48</v>
      </c>
    </row>
    <row r="24" customFormat="false" ht="15" hidden="false" customHeight="false" outlineLevel="0" collapsed="false">
      <c r="A24" s="4" t="s">
        <v>49</v>
      </c>
      <c r="B24" s="14" t="n">
        <f aca="false">B4*B6</f>
        <v>160</v>
      </c>
      <c r="C24" s="6" t="s">
        <v>50</v>
      </c>
    </row>
    <row r="25" customFormat="false" ht="15" hidden="false" customHeight="false" outlineLevel="0" collapsed="false">
      <c r="A25" s="4" t="s">
        <v>51</v>
      </c>
      <c r="B25" s="14" t="n">
        <f aca="false">B4*B6/B7*B8*B9</f>
        <v>215.111111111111</v>
      </c>
      <c r="C25" s="6" t="s">
        <v>52</v>
      </c>
    </row>
    <row r="26" customFormat="false" ht="15" hidden="false" customHeight="false" outlineLevel="0" collapsed="false">
      <c r="A26" s="15" t="s">
        <v>53</v>
      </c>
      <c r="B26" s="16" t="n">
        <f aca="false">CEILING(B25,100)</f>
        <v>300</v>
      </c>
      <c r="C26" s="17" t="s">
        <v>54</v>
      </c>
    </row>
    <row r="27" customFormat="false" ht="15" hidden="false" customHeight="false" outlineLevel="0" collapsed="false">
      <c r="A27" s="4" t="s">
        <v>55</v>
      </c>
      <c r="B27" s="14" t="n">
        <f aca="false">B10*B26</f>
        <v>30</v>
      </c>
      <c r="C27" s="6" t="s">
        <v>56</v>
      </c>
    </row>
    <row r="28" customFormat="false" ht="15" hidden="false" customHeight="false" outlineLevel="0" collapsed="false">
      <c r="A28" s="4" t="s">
        <v>57</v>
      </c>
      <c r="B28" s="14" t="n">
        <f aca="false">B4+B27</f>
        <v>70</v>
      </c>
      <c r="C28" s="6" t="s">
        <v>58</v>
      </c>
    </row>
    <row r="29" customFormat="false" ht="15" hidden="false" customHeight="false" outlineLevel="0" collapsed="false">
      <c r="A29" s="4" t="s">
        <v>59</v>
      </c>
      <c r="B29" s="18" t="n">
        <f aca="false">ROUNDUP(B28/B11,0)</f>
        <v>2</v>
      </c>
      <c r="C29" s="6" t="s">
        <v>60</v>
      </c>
    </row>
    <row r="30" customFormat="false" ht="15" hidden="false" customHeight="false" outlineLevel="0" collapsed="false">
      <c r="A30" s="15" t="s">
        <v>61</v>
      </c>
      <c r="B30" s="16" t="n">
        <f aca="false">B29+1</f>
        <v>3</v>
      </c>
      <c r="C30" s="17" t="s">
        <v>62</v>
      </c>
    </row>
    <row r="31" customFormat="false" ht="15" hidden="false" customHeight="false" outlineLevel="0" collapsed="false">
      <c r="A31" s="4" t="s">
        <v>63</v>
      </c>
      <c r="B31" s="18" t="n">
        <f aca="false">B30*B11</f>
        <v>150</v>
      </c>
      <c r="C31" s="6" t="s">
        <v>64</v>
      </c>
    </row>
    <row r="32" customFormat="false" ht="15" hidden="false" customHeight="false" outlineLevel="0" collapsed="false">
      <c r="A32" s="4" t="s">
        <v>65</v>
      </c>
      <c r="B32" s="13" t="n">
        <f aca="false">B28*B5/1000</f>
        <v>3.36</v>
      </c>
      <c r="C32" s="6" t="s">
        <v>66</v>
      </c>
    </row>
    <row r="33" customFormat="false" ht="15" hidden="false" customHeight="false" outlineLevel="0" collapsed="false">
      <c r="A33" s="4" t="s">
        <v>67</v>
      </c>
      <c r="B33" s="13" t="n">
        <f aca="false">B32/B12</f>
        <v>3.5</v>
      </c>
      <c r="C33" s="6" t="s">
        <v>68</v>
      </c>
    </row>
    <row r="34" customFormat="false" ht="15" hidden="false" customHeight="false" outlineLevel="0" collapsed="false">
      <c r="A34" s="4" t="s">
        <v>69</v>
      </c>
      <c r="B34" s="13" t="n">
        <f aca="false">B33*1000/(B13*B14)</f>
        <v>15.3711023276241</v>
      </c>
      <c r="C34" s="6" t="s">
        <v>70</v>
      </c>
    </row>
    <row r="35" customFormat="false" ht="15" hidden="false" customHeight="false" outlineLevel="0" collapsed="false">
      <c r="A35" s="15" t="s">
        <v>71</v>
      </c>
      <c r="B35" s="16" t="n">
        <f aca="false">CEILING(1.25*B34,10)</f>
        <v>20</v>
      </c>
      <c r="C35" s="17" t="s">
        <v>72</v>
      </c>
    </row>
    <row r="36" customFormat="false" ht="15" hidden="false" customHeight="false" outlineLevel="0" collapsed="false">
      <c r="A36" s="4" t="s">
        <v>73</v>
      </c>
      <c r="B36" s="13" t="n">
        <f aca="false">B33+B15</f>
        <v>6.5</v>
      </c>
      <c r="C36" s="6" t="s">
        <v>74</v>
      </c>
    </row>
    <row r="37" customFormat="false" ht="15" hidden="false" customHeight="false" outlineLevel="0" collapsed="false">
      <c r="A37" s="4" t="s">
        <v>75</v>
      </c>
      <c r="B37" s="13" t="n">
        <f aca="false">B36*(1+B16)</f>
        <v>7.8</v>
      </c>
      <c r="C37" s="6" t="s">
        <v>76</v>
      </c>
    </row>
    <row r="38" customFormat="false" ht="15" hidden="false" customHeight="false" outlineLevel="0" collapsed="false">
      <c r="A38" s="4" t="s">
        <v>77</v>
      </c>
      <c r="B38" s="13" t="n">
        <f aca="false">B37/B17</f>
        <v>9.75</v>
      </c>
      <c r="C38" s="6" t="s">
        <v>78</v>
      </c>
    </row>
    <row r="39" customFormat="false" ht="15" hidden="false" customHeight="false" outlineLevel="0" collapsed="false">
      <c r="A39" s="15" t="s">
        <v>79</v>
      </c>
      <c r="B39" s="16" t="n">
        <f aca="false">CEILING(B38,5)</f>
        <v>10</v>
      </c>
      <c r="C39" s="17" t="s">
        <v>80</v>
      </c>
    </row>
    <row r="40" customFormat="false" ht="15" hidden="false" customHeight="false" outlineLevel="0" collapsed="false">
      <c r="A40" s="4" t="s">
        <v>81</v>
      </c>
      <c r="B40" s="14" t="n">
        <f aca="false">B20*2*B18*B28/B19</f>
        <v>24.5</v>
      </c>
      <c r="C40" s="6" t="s">
        <v>82</v>
      </c>
    </row>
    <row r="41" customFormat="false" ht="15" hidden="false" customHeight="false" outlineLevel="0" collapsed="false">
      <c r="A41" s="15" t="s">
        <v>83</v>
      </c>
      <c r="B41" s="16" t="n">
        <f aca="false">INDEX(F4:F10,COUNTIF(F4:F10,"&lt;"&amp;B40)+1)</f>
        <v>25</v>
      </c>
      <c r="C41" s="17" t="s">
        <v>84</v>
      </c>
    </row>
    <row r="43" customFormat="false" ht="15" hidden="false" customHeight="false" outlineLevel="0" collapsed="false">
      <c r="A43" s="3" t="s">
        <v>85</v>
      </c>
      <c r="B43" s="3"/>
      <c r="C43" s="3"/>
    </row>
    <row r="44" customFormat="false" ht="15" hidden="false" customHeight="false" outlineLevel="0" collapsed="false">
      <c r="A44" s="19" t="s">
        <v>86</v>
      </c>
      <c r="B44" s="4" t="str">
        <f aca="false">TEXT(B4,"0")&amp;" A / "&amp;TEXT(B23,"0.0")&amp;" kW at -"&amp;B5&amp;"V DC"</f>
        <v>40 A / 1.9 kW at -48V DC</v>
      </c>
      <c r="C44" s="4"/>
    </row>
    <row r="45" customFormat="false" ht="15" hidden="false" customHeight="false" outlineLevel="0" collapsed="false">
      <c r="A45" s="19" t="s">
        <v>87</v>
      </c>
      <c r="B45" s="4" t="str">
        <f aca="false">TEXT(B26,"0")&amp;" Ah, -"&amp;B5&amp;"V"</f>
        <v>300 Ah, -48V</v>
      </c>
      <c r="C45" s="4"/>
    </row>
    <row r="46" customFormat="false" ht="15" hidden="false" customHeight="false" outlineLevel="0" collapsed="false">
      <c r="A46" s="19" t="s">
        <v>88</v>
      </c>
      <c r="B46" s="4" t="str">
        <f aca="false">B30&amp;" x "&amp;B11&amp;" A modules (N+1)"</f>
        <v>3 x 50 A modules (N+1)</v>
      </c>
      <c r="C46" s="4"/>
    </row>
    <row r="47" customFormat="false" ht="15" hidden="false" customHeight="false" outlineLevel="0" collapsed="false">
      <c r="A47" s="19" t="s">
        <v>89</v>
      </c>
      <c r="B47" s="4" t="str">
        <f aca="false">TEXT(B35,"0")&amp;" A"</f>
        <v>20 A</v>
      </c>
      <c r="C47" s="4"/>
    </row>
    <row r="48" customFormat="false" ht="15" hidden="false" customHeight="false" outlineLevel="0" collapsed="false">
      <c r="A48" s="19" t="s">
        <v>90</v>
      </c>
      <c r="B48" s="4" t="str">
        <f aca="false">TEXT(B39,"0")&amp;" kVA"</f>
        <v>10 kVA</v>
      </c>
      <c r="C48" s="4"/>
    </row>
    <row r="49" customFormat="false" ht="15" hidden="false" customHeight="false" outlineLevel="0" collapsed="false">
      <c r="A49" s="19" t="s">
        <v>91</v>
      </c>
      <c r="B49" s="4" t="str">
        <f aca="false">TEXT(B41,"0")&amp;" mm2 copper"</f>
        <v>25 mm2 copper</v>
      </c>
      <c r="C49" s="4"/>
    </row>
  </sheetData>
  <mergeCells count="6">
    <mergeCell ref="B44:C44"/>
    <mergeCell ref="B45:C45"/>
    <mergeCell ref="B46:C46"/>
    <mergeCell ref="B47:C47"/>
    <mergeCell ref="B48:C48"/>
    <mergeCell ref="B49:C49"/>
  </mergeCells>
  <dataValidations count="2">
    <dataValidation allowBlank="false" error="DoD must be between 0.5 and 0.95" errorStyle="stop" errorTitle="Invalid DoD" operator="between" showDropDown="false" showErrorMessage="true" showInputMessage="false" sqref="B7" type="decimal">
      <formula1>0.5</formula1>
      <formula2>0.95</formula2>
    </dataValidation>
    <dataValidation allowBlank="false" error="Backup time must be between 1 and 24 hours" errorStyle="stop" errorTitle="Invalid backup time" operator="between" showDropDown="false" showErrorMessage="true" showInputMessage="false" sqref="B6" type="decimal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3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9" t="s">
        <v>96</v>
      </c>
    </row>
    <row r="5" customFormat="false" ht="26.85" hidden="false" customHeight="false" outlineLevel="0" collapsed="false">
      <c r="A5" s="20" t="s">
        <v>97</v>
      </c>
      <c r="B5" s="20" t="s">
        <v>98</v>
      </c>
      <c r="C5" s="20" t="s">
        <v>99</v>
      </c>
    </row>
    <row r="6" customFormat="false" ht="15" hidden="false" customHeight="false" outlineLevel="0" collapsed="false">
      <c r="A6" s="4" t="s">
        <v>100</v>
      </c>
      <c r="B6" s="21" t="n">
        <f aca="false">'Site Power Dimensioning'!B26</f>
        <v>600</v>
      </c>
      <c r="C6" s="21" t="n">
        <f aca="false">'Scenario 2 Lithium'!B26</f>
        <v>300</v>
      </c>
    </row>
    <row r="7" customFormat="false" ht="15" hidden="false" customHeight="false" outlineLevel="0" collapsed="false">
      <c r="A7" s="4" t="s">
        <v>101</v>
      </c>
      <c r="B7" s="21" t="n">
        <f aca="false">'Site Power Dimensioning'!B31</f>
        <v>200</v>
      </c>
      <c r="C7" s="21" t="n">
        <f aca="false">'Scenario 2 Lithium'!B31</f>
        <v>150</v>
      </c>
    </row>
    <row r="8" customFormat="false" ht="15" hidden="false" customHeight="false" outlineLevel="0" collapsed="false">
      <c r="A8" s="4" t="s">
        <v>102</v>
      </c>
      <c r="B8" s="21" t="n">
        <f aca="false">'Site Power Dimensioning'!B35</f>
        <v>40</v>
      </c>
      <c r="C8" s="21" t="n">
        <f aca="false">'Scenario 2 Lithium'!B35</f>
        <v>20</v>
      </c>
    </row>
    <row r="9" customFormat="false" ht="15" hidden="false" customHeight="false" outlineLevel="0" collapsed="false">
      <c r="A9" s="4" t="s">
        <v>103</v>
      </c>
      <c r="B9" s="21" t="n">
        <f aca="false">'Site Power Dimensioning'!B39</f>
        <v>15</v>
      </c>
      <c r="C9" s="21" t="n">
        <f aca="false">'Scenario 2 Lithium'!B39</f>
        <v>10</v>
      </c>
    </row>
    <row r="10" customFormat="false" ht="15" hidden="false" customHeight="false" outlineLevel="0" collapsed="false">
      <c r="A10" s="4" t="s">
        <v>104</v>
      </c>
      <c r="B10" s="21" t="n">
        <f aca="false">'Site Power Dimensioning'!B41</f>
        <v>50</v>
      </c>
      <c r="C10" s="21" t="n">
        <f aca="false">'Scenario 2 Lithium'!B41</f>
        <v>25</v>
      </c>
    </row>
    <row r="22" customFormat="false" ht="15" hidden="false" customHeight="false" outlineLevel="0" collapsed="false">
      <c r="A22" s="9" t="s">
        <v>105</v>
      </c>
    </row>
    <row r="23" customFormat="false" ht="26.85" hidden="false" customHeight="false" outlineLevel="0" collapsed="false">
      <c r="A23" s="20" t="s">
        <v>106</v>
      </c>
      <c r="B23" s="20" t="s">
        <v>107</v>
      </c>
      <c r="C23" s="20" t="s">
        <v>108</v>
      </c>
    </row>
    <row r="24" customFormat="false" ht="15" hidden="false" customHeight="false" outlineLevel="0" collapsed="false">
      <c r="A24" s="21" t="n">
        <v>1</v>
      </c>
      <c r="B24" s="22" t="n">
        <f aca="false">'Site Power Dimensioning'!$B$4*A24/'Site Power Dimensioning'!$B$7*'Site Power Dimensioning'!$B$8*'Site Power Dimensioning'!$B$9</f>
        <v>93.75</v>
      </c>
      <c r="C24" s="22" t="n">
        <f aca="false">'Scenario 2 Lithium'!$B$4*A24/'Scenario 2 Lithium'!$B$7*'Scenario 2 Lithium'!$B$8*'Scenario 2 Lithium'!$B$9</f>
        <v>53.7777777777778</v>
      </c>
    </row>
    <row r="25" customFormat="false" ht="15" hidden="false" customHeight="false" outlineLevel="0" collapsed="false">
      <c r="A25" s="21" t="n">
        <v>2</v>
      </c>
      <c r="B25" s="22" t="n">
        <f aca="false">'Site Power Dimensioning'!$B$4*A25/'Site Power Dimensioning'!$B$7*'Site Power Dimensioning'!$B$8*'Site Power Dimensioning'!$B$9</f>
        <v>187.5</v>
      </c>
      <c r="C25" s="22" t="n">
        <f aca="false">'Scenario 2 Lithium'!$B$4*A25/'Scenario 2 Lithium'!$B$7*'Scenario 2 Lithium'!$B$8*'Scenario 2 Lithium'!$B$9</f>
        <v>107.555555555556</v>
      </c>
    </row>
    <row r="26" customFormat="false" ht="15" hidden="false" customHeight="false" outlineLevel="0" collapsed="false">
      <c r="A26" s="21" t="n">
        <v>3</v>
      </c>
      <c r="B26" s="22" t="n">
        <f aca="false">'Site Power Dimensioning'!$B$4*A26/'Site Power Dimensioning'!$B$7*'Site Power Dimensioning'!$B$8*'Site Power Dimensioning'!$B$9</f>
        <v>281.25</v>
      </c>
      <c r="C26" s="22" t="n">
        <f aca="false">'Scenario 2 Lithium'!$B$4*A26/'Scenario 2 Lithium'!$B$7*'Scenario 2 Lithium'!$B$8*'Scenario 2 Lithium'!$B$9</f>
        <v>161.333333333333</v>
      </c>
    </row>
    <row r="27" customFormat="false" ht="15" hidden="false" customHeight="false" outlineLevel="0" collapsed="false">
      <c r="A27" s="21" t="n">
        <v>4</v>
      </c>
      <c r="B27" s="22" t="n">
        <f aca="false">'Site Power Dimensioning'!$B$4*A27/'Site Power Dimensioning'!$B$7*'Site Power Dimensioning'!$B$8*'Site Power Dimensioning'!$B$9</f>
        <v>375</v>
      </c>
      <c r="C27" s="22" t="n">
        <f aca="false">'Scenario 2 Lithium'!$B$4*A27/'Scenario 2 Lithium'!$B$7*'Scenario 2 Lithium'!$B$8*'Scenario 2 Lithium'!$B$9</f>
        <v>215.111111111111</v>
      </c>
    </row>
    <row r="28" customFormat="false" ht="15" hidden="false" customHeight="false" outlineLevel="0" collapsed="false">
      <c r="A28" s="21" t="n">
        <v>5</v>
      </c>
      <c r="B28" s="22" t="n">
        <f aca="false">'Site Power Dimensioning'!$B$4*A28/'Site Power Dimensioning'!$B$7*'Site Power Dimensioning'!$B$8*'Site Power Dimensioning'!$B$9</f>
        <v>468.75</v>
      </c>
      <c r="C28" s="22" t="n">
        <f aca="false">'Scenario 2 Lithium'!$B$4*A28/'Scenario 2 Lithium'!$B$7*'Scenario 2 Lithium'!$B$8*'Scenario 2 Lithium'!$B$9</f>
        <v>268.888888888889</v>
      </c>
    </row>
    <row r="29" customFormat="false" ht="15" hidden="false" customHeight="false" outlineLevel="0" collapsed="false">
      <c r="A29" s="21" t="n">
        <v>6</v>
      </c>
      <c r="B29" s="22" t="n">
        <f aca="false">'Site Power Dimensioning'!$B$4*A29/'Site Power Dimensioning'!$B$7*'Site Power Dimensioning'!$B$8*'Site Power Dimensioning'!$B$9</f>
        <v>562.5</v>
      </c>
      <c r="C29" s="22" t="n">
        <f aca="false">'Scenario 2 Lithium'!$B$4*A29/'Scenario 2 Lithium'!$B$7*'Scenario 2 Lithium'!$B$8*'Scenario 2 Lithium'!$B$9</f>
        <v>322.666666666667</v>
      </c>
    </row>
    <row r="30" customFormat="false" ht="15" hidden="false" customHeight="false" outlineLevel="0" collapsed="false">
      <c r="A30" s="21" t="n">
        <v>7</v>
      </c>
      <c r="B30" s="22" t="n">
        <f aca="false">'Site Power Dimensioning'!$B$4*A30/'Site Power Dimensioning'!$B$7*'Site Power Dimensioning'!$B$8*'Site Power Dimensioning'!$B$9</f>
        <v>656.25</v>
      </c>
      <c r="C30" s="22" t="n">
        <f aca="false">'Scenario 2 Lithium'!$B$4*A30/'Scenario 2 Lithium'!$B$7*'Scenario 2 Lithium'!$B$8*'Scenario 2 Lithium'!$B$9</f>
        <v>376.444444444444</v>
      </c>
    </row>
    <row r="31" customFormat="false" ht="15" hidden="false" customHeight="false" outlineLevel="0" collapsed="false">
      <c r="A31" s="21" t="n">
        <v>8</v>
      </c>
      <c r="B31" s="22" t="n">
        <f aca="false">'Site Power Dimensioning'!$B$4*A31/'Site Power Dimensioning'!$B$7*'Site Power Dimensioning'!$B$8*'Site Power Dimensioning'!$B$9</f>
        <v>750</v>
      </c>
      <c r="C31" s="22" t="n">
        <f aca="false">'Scenario 2 Lithium'!$B$4*A31/'Scenario 2 Lithium'!$B$7*'Scenario 2 Lithium'!$B$8*'Scenario 2 Lithium'!$B$9</f>
        <v>430.222222222222</v>
      </c>
    </row>
    <row r="32" customFormat="false" ht="15" hidden="false" customHeight="false" outlineLevel="0" collapsed="false">
      <c r="A32" s="21" t="n">
        <v>9</v>
      </c>
      <c r="B32" s="22" t="n">
        <f aca="false">'Site Power Dimensioning'!$B$4*A32/'Site Power Dimensioning'!$B$7*'Site Power Dimensioning'!$B$8*'Site Power Dimensioning'!$B$9</f>
        <v>843.75</v>
      </c>
      <c r="C32" s="22" t="n">
        <f aca="false">'Scenario 2 Lithium'!$B$4*A32/'Scenario 2 Lithium'!$B$7*'Scenario 2 Lithium'!$B$8*'Scenario 2 Lithium'!$B$9</f>
        <v>484</v>
      </c>
    </row>
    <row r="33" customFormat="false" ht="15" hidden="false" customHeight="false" outlineLevel="0" collapsed="false">
      <c r="A33" s="21" t="n">
        <v>10</v>
      </c>
      <c r="B33" s="22" t="n">
        <f aca="false">'Site Power Dimensioning'!$B$4*A33/'Site Power Dimensioning'!$B$7*'Site Power Dimensioning'!$B$8*'Site Power Dimensioning'!$B$9</f>
        <v>937.5</v>
      </c>
      <c r="C33" s="22" t="n">
        <f aca="false">'Scenario 2 Lithium'!$B$4*A33/'Scenario 2 Lithium'!$B$7*'Scenario 2 Lithium'!$B$8*'Scenario 2 Lithium'!$B$9</f>
        <v>537.777777777778</v>
      </c>
    </row>
    <row r="34" customFormat="false" ht="15" hidden="false" customHeight="false" outlineLevel="0" collapsed="false">
      <c r="A34" s="21" t="n">
        <v>11</v>
      </c>
      <c r="B34" s="22" t="n">
        <f aca="false">'Site Power Dimensioning'!$B$4*A34/'Site Power Dimensioning'!$B$7*'Site Power Dimensioning'!$B$8*'Site Power Dimensioning'!$B$9</f>
        <v>1031.25</v>
      </c>
      <c r="C34" s="22" t="n">
        <f aca="false">'Scenario 2 Lithium'!$B$4*A34/'Scenario 2 Lithium'!$B$7*'Scenario 2 Lithium'!$B$8*'Scenario 2 Lithium'!$B$9</f>
        <v>591.555555555556</v>
      </c>
    </row>
    <row r="35" customFormat="false" ht="15" hidden="false" customHeight="false" outlineLevel="0" collapsed="false">
      <c r="A35" s="21" t="n">
        <v>12</v>
      </c>
      <c r="B35" s="22" t="n">
        <f aca="false">'Site Power Dimensioning'!$B$4*A35/'Site Power Dimensioning'!$B$7*'Site Power Dimensioning'!$B$8*'Site Power Dimensioning'!$B$9</f>
        <v>1125</v>
      </c>
      <c r="C35" s="22" t="n">
        <f aca="false">'Scenario 2 Lithium'!$B$4*A35/'Scenario 2 Lithium'!$B$7*'Scenario 2 Lithium'!$B$8*'Scenario 2 Lithium'!$B$9</f>
        <v>645.333333333334</v>
      </c>
    </row>
    <row r="40" customFormat="false" ht="15" hidden="false" customHeight="false" outlineLevel="0" collapsed="false">
      <c r="A40" s="9" t="s">
        <v>109</v>
      </c>
    </row>
    <row r="41" customFormat="false" ht="30" hidden="false" customHeight="true" outlineLevel="0" collapsed="false">
      <c r="A41" s="20" t="s">
        <v>110</v>
      </c>
      <c r="B41" s="20" t="s">
        <v>111</v>
      </c>
      <c r="C41" s="20" t="s">
        <v>57</v>
      </c>
      <c r="D41" s="20" t="s">
        <v>112</v>
      </c>
    </row>
    <row r="42" customFormat="false" ht="15" hidden="false" customHeight="false" outlineLevel="0" collapsed="false">
      <c r="A42" s="21" t="n">
        <v>20</v>
      </c>
      <c r="B42" s="21" t="n">
        <f aca="false">CEILING(A42*'Site Power Dimensioning'!$B$6/'Site Power Dimensioning'!$B$7*'Site Power Dimensioning'!$B$8*'Site Power Dimensioning'!$B$9,100)</f>
        <v>200</v>
      </c>
      <c r="C42" s="21" t="n">
        <f aca="false">A42+'Site Power Dimensioning'!$B$10*B42</f>
        <v>40</v>
      </c>
      <c r="D42" s="21" t="n">
        <f aca="false">(ROUNDUP(C42/'Site Power Dimensioning'!$B$11,0)+1)*'Site Power Dimensioning'!$B$11</f>
        <v>100</v>
      </c>
    </row>
    <row r="43" customFormat="false" ht="15" hidden="false" customHeight="false" outlineLevel="0" collapsed="false">
      <c r="A43" s="21" t="n">
        <v>30</v>
      </c>
      <c r="B43" s="21" t="n">
        <f aca="false">CEILING(A43*'Site Power Dimensioning'!$B$6/'Site Power Dimensioning'!$B$7*'Site Power Dimensioning'!$B$8*'Site Power Dimensioning'!$B$9,100)</f>
        <v>300</v>
      </c>
      <c r="C43" s="21" t="n">
        <f aca="false">A43+'Site Power Dimensioning'!$B$10*B43</f>
        <v>60</v>
      </c>
      <c r="D43" s="21" t="n">
        <f aca="false">(ROUNDUP(C43/'Site Power Dimensioning'!$B$11,0)+1)*'Site Power Dimensioning'!$B$11</f>
        <v>150</v>
      </c>
    </row>
    <row r="44" customFormat="false" ht="15" hidden="false" customHeight="false" outlineLevel="0" collapsed="false">
      <c r="A44" s="21" t="n">
        <v>40</v>
      </c>
      <c r="B44" s="21" t="n">
        <f aca="false">CEILING(A44*'Site Power Dimensioning'!$B$6/'Site Power Dimensioning'!$B$7*'Site Power Dimensioning'!$B$8*'Site Power Dimensioning'!$B$9,100)</f>
        <v>400</v>
      </c>
      <c r="C44" s="21" t="n">
        <f aca="false">A44+'Site Power Dimensioning'!$B$10*B44</f>
        <v>80</v>
      </c>
      <c r="D44" s="21" t="n">
        <f aca="false">(ROUNDUP(C44/'Site Power Dimensioning'!$B$11,0)+1)*'Site Power Dimensioning'!$B$11</f>
        <v>150</v>
      </c>
    </row>
    <row r="45" customFormat="false" ht="15" hidden="false" customHeight="false" outlineLevel="0" collapsed="false">
      <c r="A45" s="21" t="n">
        <v>50</v>
      </c>
      <c r="B45" s="21" t="n">
        <f aca="false">CEILING(A45*'Site Power Dimensioning'!$B$6/'Site Power Dimensioning'!$B$7*'Site Power Dimensioning'!$B$8*'Site Power Dimensioning'!$B$9,100)</f>
        <v>500</v>
      </c>
      <c r="C45" s="21" t="n">
        <f aca="false">A45+'Site Power Dimensioning'!$B$10*B45</f>
        <v>100</v>
      </c>
      <c r="D45" s="21" t="n">
        <f aca="false">(ROUNDUP(C45/'Site Power Dimensioning'!$B$11,0)+1)*'Site Power Dimensioning'!$B$11</f>
        <v>150</v>
      </c>
    </row>
    <row r="46" customFormat="false" ht="15" hidden="false" customHeight="false" outlineLevel="0" collapsed="false">
      <c r="A46" s="21" t="n">
        <v>60</v>
      </c>
      <c r="B46" s="21" t="n">
        <f aca="false">CEILING(A46*'Site Power Dimensioning'!$B$6/'Site Power Dimensioning'!$B$7*'Site Power Dimensioning'!$B$8*'Site Power Dimensioning'!$B$9,100)</f>
        <v>600</v>
      </c>
      <c r="C46" s="21" t="n">
        <f aca="false">A46+'Site Power Dimensioning'!$B$10*B46</f>
        <v>120</v>
      </c>
      <c r="D46" s="21" t="n">
        <f aca="false">(ROUNDUP(C46/'Site Power Dimensioning'!$B$11,0)+1)*'Site Power Dimensioning'!$B$11</f>
        <v>200</v>
      </c>
    </row>
    <row r="47" customFormat="false" ht="15" hidden="false" customHeight="false" outlineLevel="0" collapsed="false">
      <c r="A47" s="21" t="n">
        <v>70</v>
      </c>
      <c r="B47" s="21" t="n">
        <f aca="false">CEILING(A47*'Site Power Dimensioning'!$B$6/'Site Power Dimensioning'!$B$7*'Site Power Dimensioning'!$B$8*'Site Power Dimensioning'!$B$9,100)</f>
        <v>700</v>
      </c>
      <c r="C47" s="21" t="n">
        <f aca="false">A47+'Site Power Dimensioning'!$B$10*B47</f>
        <v>140</v>
      </c>
      <c r="D47" s="21" t="n">
        <f aca="false">(ROUNDUP(C47/'Site Power Dimensioning'!$B$11,0)+1)*'Site Power Dimensioning'!$B$11</f>
        <v>200</v>
      </c>
    </row>
    <row r="48" customFormat="false" ht="15" hidden="false" customHeight="false" outlineLevel="0" collapsed="false">
      <c r="A48" s="21" t="n">
        <v>80</v>
      </c>
      <c r="B48" s="21" t="n">
        <f aca="false">CEILING(A48*'Site Power Dimensioning'!$B$6/'Site Power Dimensioning'!$B$7*'Site Power Dimensioning'!$B$8*'Site Power Dimensioning'!$B$9,100)</f>
        <v>800</v>
      </c>
      <c r="C48" s="21" t="n">
        <f aca="false">A48+'Site Power Dimensioning'!$B$10*B48</f>
        <v>160</v>
      </c>
      <c r="D48" s="21" t="n">
        <f aca="false">(ROUNDUP(C48/'Site Power Dimensioning'!$B$11,0)+1)*'Site Power Dimensioning'!$B$11</f>
        <v>250</v>
      </c>
    </row>
    <row r="49" customFormat="false" ht="15" hidden="false" customHeight="false" outlineLevel="0" collapsed="false">
      <c r="A49" s="21" t="n">
        <v>90</v>
      </c>
      <c r="B49" s="21" t="n">
        <f aca="false">CEILING(A49*'Site Power Dimensioning'!$B$6/'Site Power Dimensioning'!$B$7*'Site Power Dimensioning'!$B$8*'Site Power Dimensioning'!$B$9,100)</f>
        <v>900</v>
      </c>
      <c r="C49" s="21" t="n">
        <f aca="false">A49+'Site Power Dimensioning'!$B$10*B49</f>
        <v>180</v>
      </c>
      <c r="D49" s="21" t="n">
        <f aca="false">(ROUNDUP(C49/'Site Power Dimensioning'!$B$11,0)+1)*'Site Power Dimensioning'!$B$11</f>
        <v>250</v>
      </c>
    </row>
    <row r="50" customFormat="false" ht="15" hidden="false" customHeight="false" outlineLevel="0" collapsed="false">
      <c r="A50" s="21" t="n">
        <v>100</v>
      </c>
      <c r="B50" s="21" t="n">
        <f aca="false">CEILING(A50*'Site Power Dimensioning'!$B$6/'Site Power Dimensioning'!$B$7*'Site Power Dimensioning'!$B$8*'Site Power Dimensioning'!$B$9,100)</f>
        <v>1000</v>
      </c>
      <c r="C50" s="21" t="n">
        <f aca="false">A50+'Site Power Dimensioning'!$B$10*B50</f>
        <v>200</v>
      </c>
      <c r="D50" s="21" t="n">
        <f aca="false">(ROUNDUP(C50/'Site Power Dimensioning'!$B$11,0)+1)*'Site Power Dimensioning'!$B$11</f>
        <v>250</v>
      </c>
    </row>
    <row r="58" customFormat="false" ht="15" hidden="false" customHeight="false" outlineLevel="0" collapsed="false">
      <c r="A58" s="9" t="s">
        <v>113</v>
      </c>
    </row>
    <row r="59" customFormat="false" ht="15" hidden="false" customHeight="false" outlineLevel="0" collapsed="false">
      <c r="A59" s="20" t="s">
        <v>114</v>
      </c>
      <c r="B59" s="20" t="s">
        <v>31</v>
      </c>
    </row>
    <row r="60" customFormat="false" ht="15" hidden="false" customHeight="false" outlineLevel="0" collapsed="false">
      <c r="A60" s="4" t="s">
        <v>115</v>
      </c>
      <c r="B60" s="23" t="n">
        <f aca="false">'Site Power Dimensioning'!B33</f>
        <v>6</v>
      </c>
    </row>
    <row r="61" customFormat="false" ht="15" hidden="false" customHeight="false" outlineLevel="0" collapsed="false">
      <c r="A61" s="4" t="s">
        <v>30</v>
      </c>
      <c r="B61" s="23" t="n">
        <f aca="false">'Site Power Dimensioning'!B15</f>
        <v>3</v>
      </c>
    </row>
    <row r="62" customFormat="false" ht="15" hidden="false" customHeight="false" outlineLevel="0" collapsed="false">
      <c r="A62" s="4" t="s">
        <v>116</v>
      </c>
      <c r="B62" s="23" t="n">
        <f aca="false">'Site Power Dimensioning'!B37-'Site Power Dimensioning'!B36</f>
        <v>1.8</v>
      </c>
    </row>
    <row r="66" customFormat="false" ht="15" hidden="false" customHeight="false" outlineLevel="0" collapsed="false">
      <c r="A66" s="9" t="s">
        <v>117</v>
      </c>
    </row>
    <row r="67" customFormat="false" ht="15" hidden="false" customHeight="false" outlineLevel="0" collapsed="false">
      <c r="A67" s="20" t="s">
        <v>114</v>
      </c>
      <c r="B67" s="20" t="s">
        <v>31</v>
      </c>
    </row>
    <row r="68" customFormat="false" ht="15" hidden="false" customHeight="false" outlineLevel="0" collapsed="false">
      <c r="A68" s="4" t="s">
        <v>118</v>
      </c>
      <c r="B68" s="23" t="n">
        <f aca="false">'Site Power Dimensioning'!B23</f>
        <v>2.88</v>
      </c>
    </row>
    <row r="69" customFormat="false" ht="15" hidden="false" customHeight="false" outlineLevel="0" collapsed="false">
      <c r="A69" s="4" t="s">
        <v>119</v>
      </c>
      <c r="B69" s="23" t="n">
        <f aca="false">'Site Power Dimensioning'!B27*'Site Power Dimensioning'!B5/1000</f>
        <v>2.88</v>
      </c>
    </row>
    <row r="78" customFormat="false" ht="15" hidden="false" customHeight="false" outlineLevel="0" collapsed="false">
      <c r="A78" s="9" t="s">
        <v>120</v>
      </c>
    </row>
    <row r="79" customFormat="false" ht="26.85" hidden="false" customHeight="false" outlineLevel="0" collapsed="false">
      <c r="A79" s="20" t="s">
        <v>121</v>
      </c>
      <c r="B79" s="20" t="s">
        <v>122</v>
      </c>
    </row>
    <row r="80" customFormat="false" ht="15" hidden="false" customHeight="false" outlineLevel="0" collapsed="false">
      <c r="A80" s="21" t="n">
        <v>5</v>
      </c>
      <c r="B80" s="22" t="n">
        <f aca="false">'Site Power Dimensioning'!$B$20*2*A80*'Site Power Dimensioning'!$B$28/'Site Power Dimensioning'!$B$19</f>
        <v>21</v>
      </c>
    </row>
    <row r="81" customFormat="false" ht="15" hidden="false" customHeight="false" outlineLevel="0" collapsed="false">
      <c r="A81" s="21" t="n">
        <v>10</v>
      </c>
      <c r="B81" s="22" t="n">
        <f aca="false">'Site Power Dimensioning'!$B$20*2*A81*'Site Power Dimensioning'!$B$28/'Site Power Dimensioning'!$B$19</f>
        <v>42</v>
      </c>
    </row>
    <row r="82" customFormat="false" ht="15" hidden="false" customHeight="false" outlineLevel="0" collapsed="false">
      <c r="A82" s="21" t="n">
        <v>15</v>
      </c>
      <c r="B82" s="22" t="n">
        <f aca="false">'Site Power Dimensioning'!$B$20*2*A82*'Site Power Dimensioning'!$B$28/'Site Power Dimensioning'!$B$19</f>
        <v>63</v>
      </c>
    </row>
    <row r="83" customFormat="false" ht="15" hidden="false" customHeight="false" outlineLevel="0" collapsed="false">
      <c r="A83" s="21" t="n">
        <v>20</v>
      </c>
      <c r="B83" s="22" t="n">
        <f aca="false">'Site Power Dimensioning'!$B$20*2*A83*'Site Power Dimensioning'!$B$28/'Site Power Dimensioning'!$B$19</f>
        <v>84</v>
      </c>
    </row>
    <row r="84" customFormat="false" ht="15" hidden="false" customHeight="false" outlineLevel="0" collapsed="false">
      <c r="A84" s="21" t="n">
        <v>25</v>
      </c>
      <c r="B84" s="22" t="n">
        <f aca="false">'Site Power Dimensioning'!$B$20*2*A84*'Site Power Dimensioning'!$B$28/'Site Power Dimensioning'!$B$19</f>
        <v>105</v>
      </c>
    </row>
    <row r="85" customFormat="false" ht="15" hidden="false" customHeight="false" outlineLevel="0" collapsed="false">
      <c r="A85" s="21" t="n">
        <v>30</v>
      </c>
      <c r="B85" s="22" t="n">
        <f aca="false">'Site Power Dimensioning'!$B$20*2*A85*'Site Power Dimensioning'!$B$28/'Site Power Dimensioning'!$B$19</f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24" t="s">
        <v>123</v>
      </c>
      <c r="B1" s="24"/>
    </row>
    <row r="2" customFormat="false" ht="15" hidden="false" customHeight="false" outlineLevel="0" collapsed="false">
      <c r="A2" s="9" t="s">
        <v>124</v>
      </c>
      <c r="B2" s="25" t="s">
        <v>125</v>
      </c>
    </row>
    <row r="3" customFormat="false" ht="26.85" hidden="false" customHeight="false" outlineLevel="0" collapsed="false">
      <c r="A3" s="9" t="s">
        <v>126</v>
      </c>
      <c r="B3" s="25" t="s">
        <v>127</v>
      </c>
    </row>
    <row r="4" customFormat="false" ht="15" hidden="false" customHeight="false" outlineLevel="0" collapsed="false">
      <c r="A4" s="9"/>
      <c r="B4" s="25"/>
    </row>
    <row r="5" customFormat="false" ht="15" hidden="false" customHeight="false" outlineLevel="0" collapsed="false">
      <c r="A5" s="24" t="s">
        <v>128</v>
      </c>
      <c r="B5" s="24"/>
    </row>
    <row r="6" customFormat="false" ht="15" hidden="false" customHeight="false" outlineLevel="0" collapsed="false">
      <c r="A6" s="9" t="s">
        <v>129</v>
      </c>
      <c r="B6" s="25" t="s">
        <v>48</v>
      </c>
    </row>
    <row r="7" customFormat="false" ht="15" hidden="false" customHeight="false" outlineLevel="0" collapsed="false">
      <c r="A7" s="9" t="s">
        <v>130</v>
      </c>
      <c r="B7" s="25" t="s">
        <v>131</v>
      </c>
    </row>
    <row r="8" customFormat="false" ht="15" hidden="false" customHeight="false" outlineLevel="0" collapsed="false">
      <c r="A8" s="9" t="s">
        <v>132</v>
      </c>
      <c r="B8" s="25" t="s">
        <v>133</v>
      </c>
    </row>
    <row r="9" customFormat="false" ht="15" hidden="false" customHeight="false" outlineLevel="0" collapsed="false">
      <c r="A9" s="9" t="s">
        <v>134</v>
      </c>
      <c r="B9" s="25" t="s">
        <v>135</v>
      </c>
    </row>
    <row r="10" customFormat="false" ht="15" hidden="false" customHeight="false" outlineLevel="0" collapsed="false">
      <c r="A10" s="9" t="s">
        <v>136</v>
      </c>
      <c r="B10" s="25" t="s">
        <v>137</v>
      </c>
    </row>
    <row r="11" customFormat="false" ht="15" hidden="false" customHeight="false" outlineLevel="0" collapsed="false">
      <c r="A11" s="9" t="s">
        <v>138</v>
      </c>
      <c r="B11" s="25" t="s">
        <v>139</v>
      </c>
    </row>
    <row r="12" customFormat="false" ht="15" hidden="false" customHeight="false" outlineLevel="0" collapsed="false">
      <c r="A12" s="9" t="s">
        <v>140</v>
      </c>
      <c r="B12" s="25" t="s">
        <v>141</v>
      </c>
    </row>
    <row r="13" customFormat="false" ht="15" hidden="false" customHeight="false" outlineLevel="0" collapsed="false">
      <c r="A13" s="9" t="s">
        <v>142</v>
      </c>
      <c r="B13" s="25" t="s">
        <v>143</v>
      </c>
    </row>
    <row r="14" customFormat="false" ht="15" hidden="false" customHeight="false" outlineLevel="0" collapsed="false">
      <c r="A14" s="9" t="s">
        <v>144</v>
      </c>
      <c r="B14" s="25" t="s">
        <v>145</v>
      </c>
    </row>
    <row r="15" customFormat="false" ht="15" hidden="false" customHeight="false" outlineLevel="0" collapsed="false">
      <c r="A15" s="9"/>
      <c r="B15" s="25"/>
    </row>
    <row r="16" customFormat="false" ht="15" hidden="false" customHeight="false" outlineLevel="0" collapsed="false">
      <c r="A16" s="24" t="s">
        <v>146</v>
      </c>
      <c r="B16" s="24"/>
    </row>
    <row r="17" customFormat="false" ht="15" hidden="false" customHeight="false" outlineLevel="0" collapsed="false">
      <c r="A17" s="9" t="s">
        <v>147</v>
      </c>
      <c r="B17" s="25" t="s">
        <v>148</v>
      </c>
    </row>
    <row r="18" customFormat="false" ht="15" hidden="false" customHeight="false" outlineLevel="0" collapsed="false">
      <c r="A18" s="9" t="s">
        <v>149</v>
      </c>
      <c r="B18" s="25" t="s">
        <v>150</v>
      </c>
    </row>
    <row r="19" customFormat="false" ht="15" hidden="false" customHeight="false" outlineLevel="0" collapsed="false">
      <c r="A19" s="9" t="s">
        <v>151</v>
      </c>
      <c r="B19" s="25" t="s">
        <v>152</v>
      </c>
    </row>
    <row r="20" customFormat="false" ht="15" hidden="false" customHeight="false" outlineLevel="0" collapsed="false">
      <c r="A20" s="9" t="s">
        <v>153</v>
      </c>
      <c r="B20" s="25" t="s">
        <v>154</v>
      </c>
    </row>
    <row r="21" customFormat="false" ht="15" hidden="false" customHeight="false" outlineLevel="0" collapsed="false">
      <c r="A21" s="9"/>
      <c r="B21" s="25"/>
    </row>
    <row r="22" customFormat="false" ht="26.85" hidden="false" customHeight="false" outlineLevel="0" collapsed="false">
      <c r="A22" s="9" t="s">
        <v>155</v>
      </c>
      <c r="B22" s="25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2026-10-11T07:33:22Z</dcterms:created>
  <dc:creator>openpyxl</dc:creator>
  <dc:description/>
  <dc:language>en-US</dc:language>
  <cp:lastModifiedBy/>
  <dcterms:modified xsi:type="dcterms:W3CDTF">2026-10-11T07:33:23Z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